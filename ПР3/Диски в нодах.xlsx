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Mirea\Системы хранения данных\ПР3\"/>
    </mc:Choice>
  </mc:AlternateContent>
  <xr:revisionPtr revIDLastSave="0" documentId="13_ncr:1_{20EA224E-7685-403E-AF6F-BD9ED81B9784}" xr6:coauthVersionLast="47" xr6:coauthVersionMax="47" xr10:uidLastSave="{00000000-0000-0000-0000-000000000000}"/>
  <bookViews>
    <workbookView xWindow="-108" yWindow="-108" windowWidth="30936" windowHeight="16776" xr2:uid="{F74CFAD6-B332-42FB-B9FC-56C5254BE58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4" i="1" l="1"/>
  <c r="C2" i="1" s="1"/>
  <c r="F2" i="1"/>
  <c r="C3" i="1" l="1"/>
  <c r="C4" i="1"/>
  <c r="D4" i="1" s="1"/>
  <c r="E4" i="1" s="1"/>
  <c r="L4" i="1" s="1"/>
  <c r="C6" i="1"/>
  <c r="D6" i="1" s="1"/>
  <c r="C5" i="1"/>
  <c r="D5" i="1" s="1"/>
  <c r="E5" i="1" s="1"/>
  <c r="L5" i="1" s="1"/>
  <c r="D3" i="1"/>
  <c r="E3" i="1" s="1"/>
  <c r="L3" i="1" s="1"/>
  <c r="C9" i="1"/>
  <c r="D9" i="1" s="1"/>
  <c r="C8" i="1"/>
  <c r="D8" i="1" s="1"/>
  <c r="E8" i="1" s="1"/>
  <c r="L8" i="1" s="1"/>
  <c r="C7" i="1"/>
  <c r="D7" i="1" s="1"/>
  <c r="D2" i="1"/>
  <c r="E2" i="1" s="1"/>
  <c r="L2" i="1" s="1"/>
  <c r="E7" i="1" l="1"/>
  <c r="L7" i="1" s="1"/>
  <c r="E9" i="1"/>
  <c r="L9" i="1" s="1"/>
  <c r="E6" i="1"/>
  <c r="G2" i="1"/>
  <c r="G8" i="1"/>
  <c r="G5" i="1"/>
  <c r="G4" i="1"/>
  <c r="G7" i="1"/>
  <c r="G9" i="1"/>
  <c r="G6" i="1" l="1"/>
  <c r="L6" i="1"/>
  <c r="I4" i="1"/>
  <c r="J4" i="1" s="1"/>
  <c r="M4" i="1" s="1"/>
  <c r="H4" i="1"/>
  <c r="I8" i="1"/>
  <c r="J8" i="1" s="1"/>
  <c r="M8" i="1" s="1"/>
  <c r="H8" i="1"/>
  <c r="I9" i="1"/>
  <c r="J9" i="1" s="1"/>
  <c r="M9" i="1" s="1"/>
  <c r="H9" i="1"/>
  <c r="I2" i="1"/>
  <c r="J2" i="1" s="1"/>
  <c r="M2" i="1" s="1"/>
  <c r="H2" i="1"/>
  <c r="I7" i="1"/>
  <c r="J7" i="1" s="1"/>
  <c r="M7" i="1" s="1"/>
  <c r="H7" i="1"/>
  <c r="I5" i="1"/>
  <c r="J5" i="1" s="1"/>
  <c r="M5" i="1" s="1"/>
  <c r="H5" i="1"/>
  <c r="I6" i="1"/>
  <c r="J6" i="1" s="1"/>
  <c r="H6" i="1"/>
  <c r="N2" i="1" l="1"/>
  <c r="N4" i="1"/>
  <c r="M6" i="1"/>
  <c r="N6" i="1" s="1"/>
  <c r="N8" i="1"/>
  <c r="N7" i="1"/>
  <c r="N5" i="1"/>
  <c r="N9" i="1"/>
  <c r="G3" i="1"/>
  <c r="I3" i="1" l="1"/>
  <c r="J3" i="1" s="1"/>
  <c r="M3" i="1" s="1"/>
  <c r="P13" i="1" s="1"/>
  <c r="H3" i="1"/>
  <c r="N3" i="1" l="1"/>
</calcChain>
</file>

<file path=xl/sharedStrings.xml><?xml version="1.0" encoding="utf-8"?>
<sst xmlns="http://schemas.openxmlformats.org/spreadsheetml/2006/main" count="18" uniqueCount="18">
  <si>
    <t>Объем одного диска, Тб</t>
  </si>
  <si>
    <t>Стоимость одного диска</t>
  </si>
  <si>
    <t>Количество дисков на 1 ноде</t>
  </si>
  <si>
    <t>Цена дисков для 1 ноды</t>
  </si>
  <si>
    <t>Цена всех дисков</t>
  </si>
  <si>
    <t>Макс. Дисков на ноде</t>
  </si>
  <si>
    <t>Кол-во дисков, разн.</t>
  </si>
  <si>
    <t>Количество нод</t>
  </si>
  <si>
    <t>Минимальное количество нод</t>
  </si>
  <si>
    <t xml:space="preserve">Фактор репликафии </t>
  </si>
  <si>
    <t>Соимость 1 ноды</t>
  </si>
  <si>
    <t>Стоимость всех нод</t>
  </si>
  <si>
    <t>Общ</t>
  </si>
  <si>
    <t>Итоговая ёмкость</t>
  </si>
  <si>
    <t>Цена 1Тб</t>
  </si>
  <si>
    <t>Общий мин. Объем</t>
  </si>
  <si>
    <t>Объем с фактором репликации</t>
  </si>
  <si>
    <t>Объем данных с реплицией, Тб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</si>
</sst>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11"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CDA3C-40EA-4292-968D-FD4F2770C720}" name="Таблица1" displayName="Таблица1" ref="A1:N9" totalsRowShown="0">
  <autoFilter ref="A1:N9" xr:uid="{4D1CDA3C-40EA-4292-968D-FD4F2770C720}"/>
  <tableColumns count="14">
    <tableColumn id="1" xr3:uid="{7533D3A0-5137-4C4F-854A-7A1E130BDAC2}" name="Объем одного диска, Тб" dataDxfId="10"/>
    <tableColumn id="2" xr3:uid="{F8C5EF21-07E4-40FC-BB2A-F88B4CEE11ED}" name="Макс. Дисков на ноде"/>
    <tableColumn id="3" xr3:uid="{42F1D319-2C90-4B08-B833-C2C2C267B5B0}" name="Объем данных с реплицией, Тб">
      <calculatedColumnFormula>$R$4+2*A2</calculatedColumnFormula>
    </tableColumn>
    <tableColumn id="4" xr3:uid="{577C7AF6-AD21-4931-8D7C-3407905F1FC2}" name="Кол-во дисков, разн." dataDxfId="9">
      <calculatedColumnFormula>_xlfn.CEILING.MATH(C2/A2)</calculatedColumnFormula>
    </tableColumn>
    <tableColumn id="5" xr3:uid="{9A1F91F8-A29D-4007-95E6-D931B069A86E}" name="Количество нод" dataDxfId="8">
      <calculatedColumnFormula>MAX($O$4,_xlfn.CEILING.MATH(Таблица1[[#This Row],[Кол-во дисков, разн.]]/Таблица1[[#This Row],[Макс. Дисков на ноде]]))</calculatedColumnFormula>
    </tableColumn>
    <tableColumn id="6" xr3:uid="{4C2A7E09-17C9-4608-BB74-B2470B28EDBC}" name="Стоимость одного диска">
      <calculatedColumnFormula>217492</calculatedColumnFormula>
    </tableColumn>
    <tableColumn id="7" xr3:uid="{B56F6593-C4C5-4DDD-89DE-3825E6B6302C}" name="Количество дисков на 1 ноде" dataDxfId="7">
      <calculatedColumnFormula>QUOTIENT(D2,Таблица1[[#This Row],[Количество нод]]) + _xlfn.CEILING.MATH(MOD(INT(D2),Таблица1[[#This Row],[Количество нод]])/Таблица1[[#This Row],[Количество нод]])</calculatedColumnFormula>
    </tableColumn>
    <tableColumn id="8" xr3:uid="{9818419F-ADEA-4CCA-8884-30A6DB8C254F}" name="Итоговая ёмкость" dataDxfId="6">
      <calculatedColumnFormula>Таблица1[[#This Row],[Количество дисков на 1 ноде]]*Таблица1[[#This Row],[Количество нод]]*Таблица1[[#This Row],[Объем одного диска, Тб]]</calculatedColumnFormula>
    </tableColumn>
    <tableColumn id="9" xr3:uid="{561BABFF-6506-4E0A-A643-4687D3F2820E}" name="Цена дисков для 1 ноды" dataDxfId="5">
      <calculatedColumnFormula>F2*G2</calculatedColumnFormula>
    </tableColumn>
    <tableColumn id="10" xr3:uid="{D53D43E2-AC1A-4252-9760-7E56AD07F366}" name="Цена всех дисков" dataDxfId="4">
      <calculatedColumnFormula>I2*Таблица1[[#This Row],[Количество нод]]</calculatedColumnFormula>
    </tableColumn>
    <tableColumn id="11" xr3:uid="{5D1C0DF0-B33E-4F9E-B097-F8DCD3DAF860}" name="Соимость 1 ноды" dataDxfId="3"/>
    <tableColumn id="12" xr3:uid="{49D9A76F-277A-444C-B42A-9265A1A7CFA3}" name="Стоимость всех нод" dataDxfId="2">
      <calculatedColumnFormula>Таблица1[[#This Row],[Количество нод]]*Таблица1[[#This Row],[Соимость 1 ноды]]</calculatedColumnFormula>
    </tableColumn>
    <tableColumn id="13" xr3:uid="{07042BCE-35AB-4D78-8CD8-F5D35DBC4555}" name="Общ" dataDxfId="1">
      <calculatedColumnFormula>Таблица1[[#This Row],[Цена всех дисков]]+Таблица1[[#This Row],[Стоимость всех нод]]</calculatedColumnFormula>
    </tableColumn>
    <tableColumn id="14" xr3:uid="{1C227C7B-8233-4358-8981-CFC64EF5E60F}" name="Цена 1Тб" dataDxfId="0">
      <calculatedColumnFormula>Таблица1[[#This Row],[Общ]]/Таблица1[[#This Row],[Итоговая ёмкость]]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E5F6-9FD8-473F-AB62-FF61DD1AE32B}">
  <dimension ref="A1:R26"/>
  <sheetViews>
    <sheetView tabSelected="1" zoomScaleNormal="100" workbookViewId="0">
      <selection activeCell="H19" sqref="H19"/>
    </sheetView>
  </sheetViews>
  <sheetFormatPr defaultRowHeight="14.4" x14ac:dyDescent="0.3"/>
  <cols>
    <col min="1" max="1" width="25.5546875" style="1" bestFit="1" customWidth="1"/>
    <col min="2" max="2" width="16.44140625" customWidth="1"/>
    <col min="3" max="3" width="38.6640625" bestFit="1" customWidth="1"/>
    <col min="4" max="4" width="21.33203125" bestFit="1" customWidth="1"/>
    <col min="5" max="5" width="16.88671875" bestFit="1" customWidth="1"/>
    <col min="6" max="6" width="24.44140625" bestFit="1" customWidth="1"/>
    <col min="7" max="7" width="24.21875" customWidth="1"/>
    <col min="8" max="8" width="18.44140625" bestFit="1" customWidth="1"/>
    <col min="9" max="9" width="24.21875" bestFit="1" customWidth="1"/>
    <col min="10" max="10" width="18.5546875" style="2" bestFit="1" customWidth="1"/>
    <col min="11" max="11" width="17.88671875" bestFit="1" customWidth="1"/>
    <col min="12" max="12" width="20.33203125" bestFit="1" customWidth="1"/>
    <col min="13" max="13" width="13.6640625" bestFit="1" customWidth="1"/>
    <col min="14" max="14" width="10.77734375" bestFit="1" customWidth="1"/>
    <col min="15" max="15" width="26.5546875" bestFit="1" customWidth="1"/>
    <col min="16" max="16" width="17.5546875" bestFit="1" customWidth="1"/>
    <col min="17" max="17" width="18.33203125" bestFit="1" customWidth="1"/>
    <col min="18" max="18" width="27.5546875" bestFit="1" customWidth="1"/>
  </cols>
  <sheetData>
    <row r="1" spans="1:18" x14ac:dyDescent="0.3">
      <c r="A1" s="1" t="s">
        <v>0</v>
      </c>
      <c r="B1" t="s">
        <v>5</v>
      </c>
      <c r="C1" t="s">
        <v>17</v>
      </c>
      <c r="D1" t="s">
        <v>6</v>
      </c>
      <c r="E1" t="s">
        <v>7</v>
      </c>
      <c r="F1" t="s">
        <v>1</v>
      </c>
      <c r="G1" t="s">
        <v>2</v>
      </c>
      <c r="H1" t="s">
        <v>13</v>
      </c>
      <c r="I1" t="s">
        <v>3</v>
      </c>
      <c r="J1" t="s">
        <v>4</v>
      </c>
      <c r="K1" s="2" t="s">
        <v>10</v>
      </c>
      <c r="L1" t="s">
        <v>11</v>
      </c>
      <c r="M1" t="s">
        <v>12</v>
      </c>
      <c r="N1" t="s">
        <v>14</v>
      </c>
    </row>
    <row r="2" spans="1:18" x14ac:dyDescent="0.3">
      <c r="A2" s="1">
        <v>6.4</v>
      </c>
      <c r="B2">
        <v>10</v>
      </c>
      <c r="C2">
        <f t="shared" ref="C2:C9" si="0">$R$4+2*A2</f>
        <v>267.8</v>
      </c>
      <c r="D2">
        <f t="shared" ref="D2:D9" si="1">_xlfn.CEILING.MATH(C2/A2)</f>
        <v>42</v>
      </c>
      <c r="E2">
        <f>MAX($O$4,_xlfn.CEILING.MATH(Таблица1[[#This Row],[Кол-во дисков, разн.]]/Таблица1[[#This Row],[Макс. Дисков на ноде]]))</f>
        <v>5</v>
      </c>
      <c r="F2" s="2">
        <f>217492</f>
        <v>217492</v>
      </c>
      <c r="G2">
        <f>QUOTIENT(D2,Таблица1[[#This Row],[Количество нод]]) + _xlfn.CEILING.MATH(MOD(INT(D2),Таблица1[[#This Row],[Количество нод]])/Таблица1[[#This Row],[Количество нод]])</f>
        <v>9</v>
      </c>
      <c r="H2">
        <f>Таблица1[[#This Row],[Количество дисков на 1 ноде]]*Таблица1[[#This Row],[Количество нод]]*Таблица1[[#This Row],[Объем одного диска, Тб]]</f>
        <v>288</v>
      </c>
      <c r="I2" s="2">
        <f t="shared" ref="I2:I9" si="2">F2*G2</f>
        <v>1957428</v>
      </c>
      <c r="J2" s="2">
        <f>I2*Таблица1[[#This Row],[Количество нод]]</f>
        <v>9787140</v>
      </c>
      <c r="K2" s="2">
        <v>200000</v>
      </c>
      <c r="L2" s="2">
        <f>Таблица1[[#This Row],[Количество нод]]*Таблица1[[#This Row],[Соимость 1 ноды]]</f>
        <v>1000000</v>
      </c>
      <c r="M2" s="2">
        <f>Таблица1[[#This Row],[Цена всех дисков]]+Таблица1[[#This Row],[Стоимость всех нод]]</f>
        <v>10787140</v>
      </c>
      <c r="N2" s="2">
        <f>Таблица1[[#This Row],[Общ]]/Таблица1[[#This Row],[Итоговая ёмкость]]</f>
        <v>37455.347222222219</v>
      </c>
    </row>
    <row r="3" spans="1:18" x14ac:dyDescent="0.3">
      <c r="A3" s="1">
        <v>2.4</v>
      </c>
      <c r="B3">
        <v>26</v>
      </c>
      <c r="C3">
        <f>$R$4+2*A3</f>
        <v>259.8</v>
      </c>
      <c r="D3">
        <f t="shared" si="1"/>
        <v>109</v>
      </c>
      <c r="E3">
        <f>MAX($O$4,_xlfn.CEILING.MATH(Таблица1[[#This Row],[Кол-во дисков, разн.]]/Таблица1[[#This Row],[Макс. Дисков на ноде]]))</f>
        <v>5</v>
      </c>
      <c r="F3" s="2">
        <v>5526</v>
      </c>
      <c r="G3">
        <f>QUOTIENT(D3,Таблица1[[#This Row],[Количество нод]]) + _xlfn.CEILING.MATH(MOD(INT(D3),Таблица1[[#This Row],[Количество нод]])/Таблица1[[#This Row],[Количество нод]])</f>
        <v>22</v>
      </c>
      <c r="H3">
        <f>Таблица1[[#This Row],[Количество дисков на 1 ноде]]*Таблица1[[#This Row],[Количество нод]]*Таблица1[[#This Row],[Объем одного диска, Тб]]</f>
        <v>264</v>
      </c>
      <c r="I3" s="2">
        <f t="shared" si="2"/>
        <v>121572</v>
      </c>
      <c r="J3" s="2">
        <f>I3*Таблица1[[#This Row],[Количество нод]]</f>
        <v>607860</v>
      </c>
      <c r="K3" s="2">
        <v>300000</v>
      </c>
      <c r="L3" s="2">
        <f>Таблица1[[#This Row],[Количество нод]]*Таблица1[[#This Row],[Соимость 1 ноды]]</f>
        <v>1500000</v>
      </c>
      <c r="M3" s="2">
        <f>Таблица1[[#This Row],[Цена всех дисков]]+Таблица1[[#This Row],[Стоимость всех нод]]</f>
        <v>2107860</v>
      </c>
      <c r="N3" s="2">
        <f>Таблица1[[#This Row],[Общ]]/Таблица1[[#This Row],[Итоговая ёмкость]]</f>
        <v>7984.318181818182</v>
      </c>
      <c r="O3" t="s">
        <v>8</v>
      </c>
      <c r="P3" t="s">
        <v>15</v>
      </c>
      <c r="Q3" t="s">
        <v>9</v>
      </c>
      <c r="R3" t="s">
        <v>16</v>
      </c>
    </row>
    <row r="4" spans="1:18" x14ac:dyDescent="0.3">
      <c r="A4" s="1">
        <v>14</v>
      </c>
      <c r="B4">
        <v>12</v>
      </c>
      <c r="C4">
        <f t="shared" si="0"/>
        <v>283</v>
      </c>
      <c r="D4">
        <f t="shared" si="1"/>
        <v>21</v>
      </c>
      <c r="E4">
        <f>MAX($O$4,_xlfn.CEILING.MATH(Таблица1[[#This Row],[Кол-во дисков, разн.]]/Таблица1[[#This Row],[Макс. Дисков на ноде]]))</f>
        <v>3</v>
      </c>
      <c r="F4" s="2">
        <v>49656</v>
      </c>
      <c r="G4">
        <f>QUOTIENT(D4,Таблица1[[#This Row],[Количество нод]]) + _xlfn.CEILING.MATH(MOD(INT(D4),Таблица1[[#This Row],[Количество нод]])/Таблица1[[#This Row],[Количество нод]])</f>
        <v>7</v>
      </c>
      <c r="H4">
        <f>Таблица1[[#This Row],[Количество дисков на 1 ноде]]*Таблица1[[#This Row],[Количество нод]]*Таблица1[[#This Row],[Объем одного диска, Тб]]</f>
        <v>294</v>
      </c>
      <c r="I4" s="2">
        <f t="shared" si="2"/>
        <v>347592</v>
      </c>
      <c r="J4" s="2">
        <f>I4*Таблица1[[#This Row],[Количество нод]]</f>
        <v>1042776</v>
      </c>
      <c r="K4" s="2">
        <v>300000</v>
      </c>
      <c r="L4" s="2">
        <f>Таблица1[[#This Row],[Количество нод]]*Таблица1[[#This Row],[Соимость 1 ноды]]</f>
        <v>900000</v>
      </c>
      <c r="M4" s="2">
        <f>Таблица1[[#This Row],[Цена всех дисков]]+Таблица1[[#This Row],[Стоимость всех нод]]</f>
        <v>1942776</v>
      </c>
      <c r="N4" s="2">
        <f>Таблица1[[#This Row],[Общ]]/Таблица1[[#This Row],[Итоговая ёмкость]]</f>
        <v>6608.0816326530612</v>
      </c>
      <c r="O4">
        <v>3</v>
      </c>
      <c r="P4">
        <v>85</v>
      </c>
      <c r="Q4">
        <v>3</v>
      </c>
      <c r="R4">
        <f>P4*Q4</f>
        <v>255</v>
      </c>
    </row>
    <row r="5" spans="1:18" x14ac:dyDescent="0.3">
      <c r="A5" s="1">
        <v>24</v>
      </c>
      <c r="B5">
        <v>12</v>
      </c>
      <c r="C5">
        <f t="shared" si="0"/>
        <v>303</v>
      </c>
      <c r="D5">
        <f t="shared" si="1"/>
        <v>13</v>
      </c>
      <c r="E5">
        <f>MAX($O$4,_xlfn.CEILING.MATH(Таблица1[[#This Row],[Кол-во дисков, разн.]]/Таблица1[[#This Row],[Макс. Дисков на ноде]]))</f>
        <v>3</v>
      </c>
      <c r="F5" s="2">
        <v>97000</v>
      </c>
      <c r="G5">
        <f>QUOTIENT(D5,Таблица1[[#This Row],[Количество нод]]) + _xlfn.CEILING.MATH(MOD(INT(D5),Таблица1[[#This Row],[Количество нод]])/Таблица1[[#This Row],[Количество нод]])</f>
        <v>5</v>
      </c>
      <c r="H5">
        <f>Таблица1[[#This Row],[Количество дисков на 1 ноде]]*Таблица1[[#This Row],[Количество нод]]*Таблица1[[#This Row],[Объем одного диска, Тб]]</f>
        <v>360</v>
      </c>
      <c r="I5" s="2">
        <f t="shared" si="2"/>
        <v>485000</v>
      </c>
      <c r="J5" s="2">
        <f>I5*Таблица1[[#This Row],[Количество нод]]</f>
        <v>1455000</v>
      </c>
      <c r="K5" s="2">
        <v>300000</v>
      </c>
      <c r="L5" s="2">
        <f>Таблица1[[#This Row],[Количество нод]]*Таблица1[[#This Row],[Соимость 1 ноды]]</f>
        <v>900000</v>
      </c>
      <c r="M5" s="2">
        <f>Таблица1[[#This Row],[Цена всех дисков]]+Таблица1[[#This Row],[Стоимость всех нод]]</f>
        <v>2355000</v>
      </c>
      <c r="N5" s="2">
        <f>Таблица1[[#This Row],[Общ]]/Таблица1[[#This Row],[Итоговая ёмкость]]</f>
        <v>6541.666666666667</v>
      </c>
    </row>
    <row r="6" spans="1:18" x14ac:dyDescent="0.3">
      <c r="C6">
        <f t="shared" si="0"/>
        <v>255</v>
      </c>
      <c r="D6" t="e">
        <f t="shared" si="1"/>
        <v>#DIV/0!</v>
      </c>
      <c r="E6" t="e">
        <f>MAX($O$4,_xlfn.CEILING.MATH(Таблица1[[#This Row],[Кол-во дисков, разн.]]/Таблица1[[#This Row],[Макс. Дисков на ноде]]))</f>
        <v>#DIV/0!</v>
      </c>
      <c r="F6" s="2"/>
      <c r="G6" t="e">
        <f>QUOTIENT(D6,Таблица1[[#This Row],[Количество нод]]) + _xlfn.CEILING.MATH(MOD(INT(D6),Таблица1[[#This Row],[Количество нод]])/Таблица1[[#This Row],[Количество нод]])</f>
        <v>#DIV/0!</v>
      </c>
      <c r="H6" t="e">
        <f>Таблица1[[#This Row],[Количество дисков на 1 ноде]]*Таблица1[[#This Row],[Количество нод]]*Таблица1[[#This Row],[Объем одного диска, Тб]]</f>
        <v>#DIV/0!</v>
      </c>
      <c r="I6" s="2" t="e">
        <f t="shared" si="2"/>
        <v>#DIV/0!</v>
      </c>
      <c r="J6" s="2" t="e">
        <f>I6*Таблица1[[#This Row],[Количество нод]]</f>
        <v>#DIV/0!</v>
      </c>
      <c r="K6" s="2">
        <v>300000</v>
      </c>
      <c r="L6" s="2" t="e">
        <f>Таблица1[[#This Row],[Количество нод]]*Таблица1[[#This Row],[Соимость 1 ноды]]</f>
        <v>#DIV/0!</v>
      </c>
      <c r="M6" s="2" t="e">
        <f>Таблица1[[#This Row],[Цена всех дисков]]+Таблица1[[#This Row],[Стоимость всех нод]]</f>
        <v>#DIV/0!</v>
      </c>
      <c r="N6" s="2" t="e">
        <f>Таблица1[[#This Row],[Общ]]/Таблица1[[#This Row],[Итоговая ёмкость]]</f>
        <v>#DIV/0!</v>
      </c>
    </row>
    <row r="7" spans="1:18" x14ac:dyDescent="0.3">
      <c r="C7">
        <f t="shared" si="0"/>
        <v>255</v>
      </c>
      <c r="D7" t="e">
        <f t="shared" si="1"/>
        <v>#DIV/0!</v>
      </c>
      <c r="E7" t="e">
        <f>MAX($O$4,_xlfn.CEILING.MATH(Таблица1[[#This Row],[Кол-во дисков, разн.]]/Таблица1[[#This Row],[Макс. Дисков на ноде]]))</f>
        <v>#DIV/0!</v>
      </c>
      <c r="F7" s="2"/>
      <c r="G7" t="e">
        <f>QUOTIENT(D7,Таблица1[[#This Row],[Количество нод]]) + _xlfn.CEILING.MATH(MOD(INT(D7),Таблица1[[#This Row],[Количество нод]])/Таблица1[[#This Row],[Количество нод]])</f>
        <v>#DIV/0!</v>
      </c>
      <c r="H7" t="e">
        <f>Таблица1[[#This Row],[Количество дисков на 1 ноде]]*Таблица1[[#This Row],[Количество нод]]*Таблица1[[#This Row],[Объем одного диска, Тб]]</f>
        <v>#DIV/0!</v>
      </c>
      <c r="I7" s="2" t="e">
        <f t="shared" si="2"/>
        <v>#DIV/0!</v>
      </c>
      <c r="J7" s="2" t="e">
        <f>I7*Таблица1[[#This Row],[Количество нод]]</f>
        <v>#DIV/0!</v>
      </c>
      <c r="K7" s="2">
        <v>300000</v>
      </c>
      <c r="L7" s="2" t="e">
        <f>Таблица1[[#This Row],[Количество нод]]*Таблица1[[#This Row],[Соимость 1 ноды]]</f>
        <v>#DIV/0!</v>
      </c>
      <c r="M7" s="2" t="e">
        <f>Таблица1[[#This Row],[Цена всех дисков]]+Таблица1[[#This Row],[Стоимость всех нод]]</f>
        <v>#DIV/0!</v>
      </c>
      <c r="N7" s="2" t="e">
        <f>Таблица1[[#This Row],[Общ]]/Таблица1[[#This Row],[Итоговая ёмкость]]</f>
        <v>#DIV/0!</v>
      </c>
    </row>
    <row r="8" spans="1:18" x14ac:dyDescent="0.3">
      <c r="C8">
        <f t="shared" si="0"/>
        <v>255</v>
      </c>
      <c r="D8" t="e">
        <f t="shared" si="1"/>
        <v>#DIV/0!</v>
      </c>
      <c r="E8" t="e">
        <f>MAX($O$4,_xlfn.CEILING.MATH(Таблица1[[#This Row],[Кол-во дисков, разн.]]/Таблица1[[#This Row],[Макс. Дисков на ноде]]))</f>
        <v>#DIV/0!</v>
      </c>
      <c r="F8" s="2"/>
      <c r="G8" t="e">
        <f>QUOTIENT(D8,Таблица1[[#This Row],[Количество нод]]) + _xlfn.CEILING.MATH(MOD(INT(D8),Таблица1[[#This Row],[Количество нод]])/Таблица1[[#This Row],[Количество нод]])</f>
        <v>#DIV/0!</v>
      </c>
      <c r="H8" t="e">
        <f>Таблица1[[#This Row],[Количество дисков на 1 ноде]]*Таблица1[[#This Row],[Количество нод]]*Таблица1[[#This Row],[Объем одного диска, Тб]]</f>
        <v>#DIV/0!</v>
      </c>
      <c r="I8" s="2" t="e">
        <f t="shared" si="2"/>
        <v>#DIV/0!</v>
      </c>
      <c r="J8" s="2" t="e">
        <f>I8*Таблица1[[#This Row],[Количество нод]]</f>
        <v>#DIV/0!</v>
      </c>
      <c r="K8" s="2">
        <v>300000</v>
      </c>
      <c r="L8" s="2" t="e">
        <f>Таблица1[[#This Row],[Количество нод]]*Таблица1[[#This Row],[Соимость 1 ноды]]</f>
        <v>#DIV/0!</v>
      </c>
      <c r="M8" s="2" t="e">
        <f>Таблица1[[#This Row],[Цена всех дисков]]+Таблица1[[#This Row],[Стоимость всех нод]]</f>
        <v>#DIV/0!</v>
      </c>
      <c r="N8" s="2" t="e">
        <f>Таблица1[[#This Row],[Общ]]/Таблица1[[#This Row],[Итоговая ёмкость]]</f>
        <v>#DIV/0!</v>
      </c>
    </row>
    <row r="9" spans="1:18" x14ac:dyDescent="0.3">
      <c r="C9">
        <f t="shared" si="0"/>
        <v>255</v>
      </c>
      <c r="D9" t="e">
        <f t="shared" si="1"/>
        <v>#DIV/0!</v>
      </c>
      <c r="E9" t="e">
        <f>MAX($O$4,_xlfn.CEILING.MATH(Таблица1[[#This Row],[Кол-во дисков, разн.]]/Таблица1[[#This Row],[Макс. Дисков на ноде]]))</f>
        <v>#DIV/0!</v>
      </c>
      <c r="F9" s="2"/>
      <c r="G9" t="e">
        <f>QUOTIENT(D9,Таблица1[[#This Row],[Количество нод]]) + _xlfn.CEILING.MATH(MOD(INT(D9),Таблица1[[#This Row],[Количество нод]])/Таблица1[[#This Row],[Количество нод]])</f>
        <v>#DIV/0!</v>
      </c>
      <c r="H9" t="e">
        <f>Таблица1[[#This Row],[Количество дисков на 1 ноде]]*Таблица1[[#This Row],[Количество нод]]*Таблица1[[#This Row],[Объем одного диска, Тб]]</f>
        <v>#DIV/0!</v>
      </c>
      <c r="I9" s="2" t="e">
        <f t="shared" si="2"/>
        <v>#DIV/0!</v>
      </c>
      <c r="J9" s="2" t="e">
        <f>I9*Таблица1[[#This Row],[Количество нод]]</f>
        <v>#DIV/0!</v>
      </c>
      <c r="K9" s="2">
        <v>300000</v>
      </c>
      <c r="L9" s="2" t="e">
        <f>Таблица1[[#This Row],[Количество нод]]*Таблица1[[#This Row],[Соимость 1 ноды]]</f>
        <v>#DIV/0!</v>
      </c>
      <c r="M9" s="2" t="e">
        <f>Таблица1[[#This Row],[Цена всех дисков]]+Таблица1[[#This Row],[Стоимость всех нод]]</f>
        <v>#DIV/0!</v>
      </c>
      <c r="N9" s="2" t="e">
        <f>Таблица1[[#This Row],[Общ]]/Таблица1[[#This Row],[Итоговая ёмкость]]</f>
        <v>#DIV/0!</v>
      </c>
    </row>
    <row r="13" spans="1:18" x14ac:dyDescent="0.3">
      <c r="P13" s="2">
        <f>AVERAGE(M3:M5)</f>
        <v>2135212</v>
      </c>
      <c r="R13" s="2"/>
    </row>
    <row r="26" spans="12:12" x14ac:dyDescent="0.3">
      <c r="L26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Derev</dc:creator>
  <cp:lastModifiedBy>V Derev</cp:lastModifiedBy>
  <dcterms:created xsi:type="dcterms:W3CDTF">2026-05-03T20:26:53Z</dcterms:created>
  <dcterms:modified xsi:type="dcterms:W3CDTF">2026-05-17T19:24:35Z</dcterms:modified>
</cp:coreProperties>
</file>