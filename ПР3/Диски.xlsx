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irea\Системы хранения данных\ПР3\"/>
    </mc:Choice>
  </mc:AlternateContent>
  <xr:revisionPtr revIDLastSave="0" documentId="13_ncr:1_{A425B92A-9274-4C59-9C63-89610F865C35}" xr6:coauthVersionLast="47" xr6:coauthVersionMax="47" xr10:uidLastSave="{00000000-0000-0000-0000-000000000000}"/>
  <bookViews>
    <workbookView xWindow="0" yWindow="360" windowWidth="30936" windowHeight="16776" activeTab="1" xr2:uid="{FE04630E-9174-4FE3-B5A6-EC923B2F5C1C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2" i="1"/>
  <c r="C3" i="1"/>
  <c r="C4" i="1"/>
  <c r="C5" i="1"/>
  <c r="C6" i="1"/>
  <c r="C8" i="1"/>
  <c r="C12" i="1"/>
  <c r="C13" i="1"/>
  <c r="C14" i="1"/>
  <c r="C9" i="1"/>
  <c r="C10" i="1"/>
  <c r="C11" i="1"/>
  <c r="C7" i="1"/>
  <c r="C15" i="1"/>
  <c r="C16" i="1"/>
  <c r="C17" i="1"/>
</calcChain>
</file>

<file path=xl/sharedStrings.xml><?xml version="1.0" encoding="utf-8"?>
<sst xmlns="http://schemas.openxmlformats.org/spreadsheetml/2006/main" count="6" uniqueCount="3">
  <si>
    <t>Объем, МБ</t>
  </si>
  <si>
    <t>Цена, руб</t>
  </si>
  <si>
    <t>Цена 1 МБ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</si>
</sst>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10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Лист1!$A$2:$A$15</c:f>
              <c:numCache>
                <c:formatCode>General</c:formatCode>
                <c:ptCount val="14"/>
                <c:pt idx="0">
                  <c:v>1200</c:v>
                </c:pt>
                <c:pt idx="1">
                  <c:v>1200</c:v>
                </c:pt>
                <c:pt idx="2">
                  <c:v>1800</c:v>
                </c:pt>
                <c:pt idx="3">
                  <c:v>1800</c:v>
                </c:pt>
                <c:pt idx="4">
                  <c:v>2400</c:v>
                </c:pt>
                <c:pt idx="5">
                  <c:v>8000</c:v>
                </c:pt>
                <c:pt idx="6">
                  <c:v>10000</c:v>
                </c:pt>
                <c:pt idx="7">
                  <c:v>10000</c:v>
                </c:pt>
                <c:pt idx="8">
                  <c:v>12000</c:v>
                </c:pt>
                <c:pt idx="9">
                  <c:v>12000</c:v>
                </c:pt>
                <c:pt idx="10">
                  <c:v>16000</c:v>
                </c:pt>
                <c:pt idx="11">
                  <c:v>16000</c:v>
                </c:pt>
                <c:pt idx="12">
                  <c:v>18000</c:v>
                </c:pt>
                <c:pt idx="13">
                  <c:v>24000</c:v>
                </c:pt>
              </c:numCache>
            </c:numRef>
          </c:xVal>
          <c:yVal>
            <c:numRef>
              <c:f>Лист1!$C$2:$C$15</c:f>
              <c:numCache>
                <c:formatCode>General</c:formatCode>
                <c:ptCount val="14"/>
                <c:pt idx="0">
                  <c:v>14.415833333333333</c:v>
                </c:pt>
                <c:pt idx="1">
                  <c:v>19.166666666666668</c:v>
                </c:pt>
                <c:pt idx="2">
                  <c:v>11.111111111111111</c:v>
                </c:pt>
                <c:pt idx="3">
                  <c:v>10.944444444444445</c:v>
                </c:pt>
                <c:pt idx="4">
                  <c:v>17.5</c:v>
                </c:pt>
                <c:pt idx="5">
                  <c:v>7.4749999999999996</c:v>
                </c:pt>
                <c:pt idx="6">
                  <c:v>6.55</c:v>
                </c:pt>
                <c:pt idx="7">
                  <c:v>4.28</c:v>
                </c:pt>
                <c:pt idx="8">
                  <c:v>5.416666666666667</c:v>
                </c:pt>
                <c:pt idx="9">
                  <c:v>5.416666666666667</c:v>
                </c:pt>
                <c:pt idx="10">
                  <c:v>4.8312499999999998</c:v>
                </c:pt>
                <c:pt idx="11">
                  <c:v>4.55</c:v>
                </c:pt>
                <c:pt idx="12">
                  <c:v>4</c:v>
                </c:pt>
                <c:pt idx="1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2-4001-B381-BC2458B30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711935"/>
        <c:axId val="1984719615"/>
      </c:scatterChart>
      <c:valAx>
        <c:axId val="198471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Объем, МБ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719615"/>
        <c:crosses val="autoZero"/>
        <c:crossBetween val="midCat"/>
      </c:valAx>
      <c:valAx>
        <c:axId val="198471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 1 МБ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7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Лист1!$A$2:$A$15</c:f>
              <c:numCache>
                <c:formatCode>General</c:formatCode>
                <c:ptCount val="14"/>
                <c:pt idx="0">
                  <c:v>1200</c:v>
                </c:pt>
                <c:pt idx="1">
                  <c:v>1200</c:v>
                </c:pt>
                <c:pt idx="2">
                  <c:v>1800</c:v>
                </c:pt>
                <c:pt idx="3">
                  <c:v>1800</c:v>
                </c:pt>
                <c:pt idx="4">
                  <c:v>2400</c:v>
                </c:pt>
                <c:pt idx="5">
                  <c:v>8000</c:v>
                </c:pt>
                <c:pt idx="6">
                  <c:v>10000</c:v>
                </c:pt>
                <c:pt idx="7">
                  <c:v>10000</c:v>
                </c:pt>
                <c:pt idx="8">
                  <c:v>12000</c:v>
                </c:pt>
                <c:pt idx="9">
                  <c:v>12000</c:v>
                </c:pt>
                <c:pt idx="10">
                  <c:v>16000</c:v>
                </c:pt>
                <c:pt idx="11">
                  <c:v>16000</c:v>
                </c:pt>
                <c:pt idx="12">
                  <c:v>18000</c:v>
                </c:pt>
                <c:pt idx="13">
                  <c:v>24000</c:v>
                </c:pt>
              </c:numCache>
            </c:numRef>
          </c:xVal>
          <c:yVal>
            <c:numRef>
              <c:f>Лист1!$C$2:$C$15</c:f>
              <c:numCache>
                <c:formatCode>General</c:formatCode>
                <c:ptCount val="14"/>
                <c:pt idx="0">
                  <c:v>14.415833333333333</c:v>
                </c:pt>
                <c:pt idx="1">
                  <c:v>19.166666666666668</c:v>
                </c:pt>
                <c:pt idx="2">
                  <c:v>11.111111111111111</c:v>
                </c:pt>
                <c:pt idx="3">
                  <c:v>10.944444444444445</c:v>
                </c:pt>
                <c:pt idx="4">
                  <c:v>17.5</c:v>
                </c:pt>
                <c:pt idx="5">
                  <c:v>7.4749999999999996</c:v>
                </c:pt>
                <c:pt idx="6">
                  <c:v>6.55</c:v>
                </c:pt>
                <c:pt idx="7">
                  <c:v>4.28</c:v>
                </c:pt>
                <c:pt idx="8">
                  <c:v>5.416666666666667</c:v>
                </c:pt>
                <c:pt idx="9">
                  <c:v>5.416666666666667</c:v>
                </c:pt>
                <c:pt idx="10">
                  <c:v>4.8312499999999998</c:v>
                </c:pt>
                <c:pt idx="11">
                  <c:v>4.55</c:v>
                </c:pt>
                <c:pt idx="12">
                  <c:v>4</c:v>
                </c:pt>
                <c:pt idx="1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E-4EF7-92B4-DC6B8338A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711935"/>
        <c:axId val="1984719615"/>
      </c:scatterChart>
      <c:valAx>
        <c:axId val="198471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Объем, МБ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719615"/>
        <c:crosses val="autoZero"/>
        <c:crossBetween val="midCat"/>
      </c:valAx>
      <c:valAx>
        <c:axId val="198471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 1 МБ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47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361950</xdr:rowOff>
    </xdr:from>
    <xdr:to>
      <xdr:col>11</xdr:col>
      <xdr:colOff>327660</xdr:colOff>
      <xdr:row>15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16349C3-2ADB-6C15-DA1F-C57354390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361950</xdr:rowOff>
    </xdr:from>
    <xdr:to>
      <xdr:col>11</xdr:col>
      <xdr:colOff>327660</xdr:colOff>
      <xdr:row>15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563A17-AAB4-413A-9A3A-D6CE02A85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B0241-728C-44C6-809C-DB3C4504FB31}" name="Таблица1" displayName="Таблица1" ref="A1:C17" totalsRowShown="0" headerRowDxfId="9" dataDxfId="8">
  <autoFilter ref="A1:C17" xr:uid="{5A4B0241-728C-44C6-809C-DB3C4504FB31}"/>
  <sortState xmlns:xlrd2="http://schemas.microsoft.com/office/spreadsheetml/2017/richdata2" ref="A2:C17">
    <sortCondition ref="A1:A17"/>
  </sortState>
  <tableColumns count="3">
    <tableColumn id="1" xr3:uid="{A06602BD-0952-4AAF-A63A-58978D514088}" name="Объем, МБ" dataDxfId="7"/>
    <tableColumn id="2" xr3:uid="{3EA4BE00-D146-4563-9FE3-C5643E03E827}" name="Цена, руб" dataDxfId="6"/>
    <tableColumn id="3" xr3:uid="{8BFE2589-7FB9-4896-9410-F77976B9E0B9}" name="Цена 1 МБ" dataDxfId="5">
      <calculatedColumnFormula>Таблица1[[#This Row],[Цена, руб]]/Таблица1[[#This Row],[Объем, МБ]]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43C91-1223-4140-A451-05C189B5ABF2}" name="Таблица13" displayName="Таблица13" ref="A1:C17" totalsRowShown="0" headerRowDxfId="4" dataDxfId="3">
  <autoFilter ref="A1:C17" xr:uid="{1B843C91-1223-4140-A451-05C189B5ABF2}"/>
  <sortState xmlns:xlrd2="http://schemas.microsoft.com/office/spreadsheetml/2017/richdata2" ref="A2:C17">
    <sortCondition ref="A1:A17"/>
  </sortState>
  <tableColumns count="3">
    <tableColumn id="1" xr3:uid="{40ED6764-84A6-4CD4-AEDA-FA8F8861A5DE}" name="Объем, МБ" dataDxfId="2"/>
    <tableColumn id="2" xr3:uid="{54507C50-F00C-4AE4-8526-4AB63334793C}" name="Цена, руб" dataDxfId="1"/>
    <tableColumn id="3" xr3:uid="{00C381C0-DE77-4219-8EC0-DD2EEF4F38C1}" name="Цена 1 МБ" dataDxfId="0">
      <calculatedColumnFormula>Таблица13[[#This Row],[Цена, руб]]/Таблица13[[#This Row],[Объем, МБ]]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82ED-4CE7-49B0-8665-1729E5B87CCD}">
  <dimension ref="A1:D17"/>
  <sheetViews>
    <sheetView zoomScale="115" zoomScaleNormal="115" workbookViewId="0">
      <selection activeCell="J21" sqref="A1:XFD1048576"/>
    </sheetView>
  </sheetViews>
  <sheetFormatPr defaultRowHeight="14.4" x14ac:dyDescent="0.3"/>
  <cols>
    <col min="3" max="3" width="11.554687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2">
        <v>1200</v>
      </c>
      <c r="B2" s="2">
        <v>17299</v>
      </c>
      <c r="C2" s="2">
        <f>Таблица1[[#This Row],[Цена, руб]]/Таблица1[[#This Row],[Объем, МБ]]</f>
        <v>14.415833333333333</v>
      </c>
      <c r="D2" s="2"/>
    </row>
    <row r="3" spans="1:4" x14ac:dyDescent="0.3">
      <c r="A3" s="2">
        <v>1200</v>
      </c>
      <c r="B3" s="2">
        <v>23000</v>
      </c>
      <c r="C3" s="2">
        <f>Таблица1[[#This Row],[Цена, руб]]/Таблица1[[#This Row],[Объем, МБ]]</f>
        <v>19.166666666666668</v>
      </c>
      <c r="D3" s="2"/>
    </row>
    <row r="4" spans="1:4" x14ac:dyDescent="0.3">
      <c r="A4" s="2">
        <v>1800</v>
      </c>
      <c r="B4" s="2">
        <v>20000</v>
      </c>
      <c r="C4" s="2">
        <f>Таблица1[[#This Row],[Цена, руб]]/Таблица1[[#This Row],[Объем, МБ]]</f>
        <v>11.111111111111111</v>
      </c>
      <c r="D4" s="2"/>
    </row>
    <row r="5" spans="1:4" x14ac:dyDescent="0.3">
      <c r="A5" s="2">
        <v>1800</v>
      </c>
      <c r="B5" s="2">
        <v>19700</v>
      </c>
      <c r="C5" s="2">
        <f>Таблица1[[#This Row],[Цена, руб]]/Таблица1[[#This Row],[Объем, МБ]]</f>
        <v>10.944444444444445</v>
      </c>
      <c r="D5" s="2"/>
    </row>
    <row r="6" spans="1:4" x14ac:dyDescent="0.3">
      <c r="A6" s="2">
        <v>2400</v>
      </c>
      <c r="B6" s="2">
        <v>42000</v>
      </c>
      <c r="C6" s="2">
        <f>Таблица1[[#This Row],[Цена, руб]]/Таблица1[[#This Row],[Объем, МБ]]</f>
        <v>17.5</v>
      </c>
      <c r="D6" s="2"/>
    </row>
    <row r="7" spans="1:4" x14ac:dyDescent="0.3">
      <c r="A7" s="2">
        <v>8000</v>
      </c>
      <c r="B7" s="2">
        <v>59800</v>
      </c>
      <c r="C7" s="2">
        <f>Таблица1[[#This Row],[Цена, руб]]/Таблица1[[#This Row],[Объем, МБ]]</f>
        <v>7.4749999999999996</v>
      </c>
      <c r="D7" s="2"/>
    </row>
    <row r="8" spans="1:4" x14ac:dyDescent="0.3">
      <c r="A8" s="2">
        <v>10000</v>
      </c>
      <c r="B8" s="2">
        <v>65500</v>
      </c>
      <c r="C8" s="2">
        <f>Таблица1[[#This Row],[Цена, руб]]/Таблица1[[#This Row],[Объем, МБ]]</f>
        <v>6.55</v>
      </c>
      <c r="D8" s="2"/>
    </row>
    <row r="9" spans="1:4" x14ac:dyDescent="0.3">
      <c r="A9" s="2">
        <v>10000</v>
      </c>
      <c r="B9" s="2">
        <v>42800</v>
      </c>
      <c r="C9" s="2">
        <f>Таблица1[[#This Row],[Цена, руб]]/Таблица1[[#This Row],[Объем, МБ]]</f>
        <v>4.28</v>
      </c>
      <c r="D9" s="2"/>
    </row>
    <row r="10" spans="1:4" x14ac:dyDescent="0.3">
      <c r="A10" s="2">
        <v>12000</v>
      </c>
      <c r="B10" s="2">
        <v>65000</v>
      </c>
      <c r="C10" s="2">
        <f>Таблица1[[#This Row],[Цена, руб]]/Таблица1[[#This Row],[Объем, МБ]]</f>
        <v>5.416666666666667</v>
      </c>
      <c r="D10" s="2"/>
    </row>
    <row r="11" spans="1:4" x14ac:dyDescent="0.3">
      <c r="A11" s="2">
        <v>12000</v>
      </c>
      <c r="B11" s="2">
        <v>65000</v>
      </c>
      <c r="C11" s="2">
        <f>Таблица1[[#This Row],[Цена, руб]]/Таблица1[[#This Row],[Объем, МБ]]</f>
        <v>5.416666666666667</v>
      </c>
    </row>
    <row r="12" spans="1:4" x14ac:dyDescent="0.3">
      <c r="A12" s="2">
        <v>16000</v>
      </c>
      <c r="B12" s="2">
        <v>77300</v>
      </c>
      <c r="C12" s="2">
        <f>Таблица1[[#This Row],[Цена, руб]]/Таблица1[[#This Row],[Объем, МБ]]</f>
        <v>4.8312499999999998</v>
      </c>
    </row>
    <row r="13" spans="1:4" x14ac:dyDescent="0.3">
      <c r="A13" s="2">
        <v>16000</v>
      </c>
      <c r="B13" s="2">
        <v>72800</v>
      </c>
      <c r="C13" s="2">
        <f>Таблица1[[#This Row],[Цена, руб]]/Таблица1[[#This Row],[Объем, МБ]]</f>
        <v>4.55</v>
      </c>
    </row>
    <row r="14" spans="1:4" x14ac:dyDescent="0.3">
      <c r="A14" s="2">
        <v>18000</v>
      </c>
      <c r="B14" s="2">
        <v>72000</v>
      </c>
      <c r="C14" s="2">
        <f>Таблица1[[#This Row],[Цена, руб]]/Таблица1[[#This Row],[Объем, МБ]]</f>
        <v>4</v>
      </c>
    </row>
    <row r="15" spans="1:4" x14ac:dyDescent="0.3">
      <c r="A15" s="2">
        <v>24000</v>
      </c>
      <c r="B15" s="2">
        <v>108000</v>
      </c>
      <c r="C15" s="2">
        <f>Таблица1[[#This Row],[Цена, руб]]/Таблица1[[#This Row],[Объем, МБ]]</f>
        <v>4.5</v>
      </c>
    </row>
    <row r="16" spans="1:4" x14ac:dyDescent="0.3">
      <c r="A16" s="2"/>
      <c r="B16" s="2"/>
      <c r="C16" s="2" t="e">
        <f>Таблица1[[#This Row],[Цена, руб]]/Таблица1[[#This Row],[Объем, МБ]]</f>
        <v>#DIV/0!</v>
      </c>
    </row>
    <row r="17" spans="1:3" x14ac:dyDescent="0.3">
      <c r="A17" s="2"/>
      <c r="B17" s="2"/>
      <c r="C17" s="2" t="e">
        <f>Таблица1[[#This Row],[Цена, руб]]/Таблица1[[#This Row],[Объем, МБ]]</f>
        <v>#DIV/0!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7049-0B20-4465-9CDD-4F5EBE889815}">
  <dimension ref="A1:D17"/>
  <sheetViews>
    <sheetView tabSelected="1" zoomScale="160" zoomScaleNormal="160" workbookViewId="0">
      <selection activeCell="B2" sqref="B2"/>
    </sheetView>
  </sheetViews>
  <sheetFormatPr defaultRowHeight="14.4" x14ac:dyDescent="0.3"/>
  <cols>
    <col min="3" max="3" width="11.554687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2">
        <v>24000</v>
      </c>
      <c r="B2" s="2">
        <v>17299</v>
      </c>
      <c r="C2" s="2">
        <f>Таблица13[[#This Row],[Цена, руб]]/Таблица13[[#This Row],[Объем, МБ]]</f>
        <v>0.72079166666666672</v>
      </c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2"/>
    </row>
    <row r="14" spans="1:4" x14ac:dyDescent="0.3">
      <c r="A14" s="2"/>
      <c r="B14" s="2"/>
      <c r="C14" s="2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Derev</dc:creator>
  <cp:lastModifiedBy>V Derev</cp:lastModifiedBy>
  <dcterms:created xsi:type="dcterms:W3CDTF">2026-04-19T16:18:15Z</dcterms:created>
  <dcterms:modified xsi:type="dcterms:W3CDTF">2026-04-19T20:59:16Z</dcterms:modified>
</cp:coreProperties>
</file>