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Mirea\Системы хранения данных\ПР3\"/>
    </mc:Choice>
  </mc:AlternateContent>
  <xr:revisionPtr revIDLastSave="0" documentId="13_ncr:1_{B91B78A7-E2F5-4CDF-8A3A-DFAEAA398D40}" xr6:coauthVersionLast="47" xr6:coauthVersionMax="47" xr10:uidLastSave="{00000000-0000-0000-0000-000000000000}"/>
  <bookViews>
    <workbookView xWindow="-108" yWindow="-108" windowWidth="30936" windowHeight="16776" firstSheet="1" activeTab="4" xr2:uid="{D56C4ECF-4E27-4F98-BBEF-B44C203A18B2}"/>
  </bookViews>
  <sheets>
    <sheet name=" Объем запросов" sheetId="1" r:id="rId1"/>
    <sheet name="объем хранилища" sheetId="2" r:id="rId2"/>
    <sheet name="Количество дисков по скорости" sheetId="4" r:id="rId3"/>
    <sheet name="Количество дисков по объему" sheetId="5" r:id="rId4"/>
    <sheet name="Лист1" sheetId="8" r:id="rId5"/>
    <sheet name="Количество дисков для кластера" sheetId="7" r:id="rId6"/>
    <sheet name="Tiring" sheetId="3" r:id="rId7"/>
    <sheet name="Настроки диска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8" l="1"/>
  <c r="H3" i="8"/>
  <c r="H4" i="8"/>
  <c r="H5" i="8"/>
  <c r="H6" i="8"/>
  <c r="F2" i="8"/>
  <c r="G2" i="8" s="1"/>
  <c r="F3" i="8"/>
  <c r="G3" i="8" s="1"/>
  <c r="F4" i="8"/>
  <c r="G4" i="8" s="1"/>
  <c r="F5" i="8"/>
  <c r="G5" i="8" s="1"/>
  <c r="F6" i="8"/>
  <c r="G6" i="8" s="1"/>
  <c r="E2" i="2"/>
  <c r="C2" i="8" s="1"/>
  <c r="E3" i="2"/>
  <c r="C3" i="8" s="1"/>
  <c r="E4" i="2"/>
  <c r="C4" i="8" s="1"/>
  <c r="E5" i="2"/>
  <c r="C5" i="8" s="1"/>
  <c r="E6" i="2"/>
  <c r="C6" i="8" s="1"/>
  <c r="B3" i="8"/>
  <c r="B4" i="8"/>
  <c r="B5" i="8"/>
  <c r="B6" i="8"/>
  <c r="B2" i="8"/>
  <c r="D3" i="8"/>
  <c r="E3" i="8" s="1"/>
  <c r="A3" i="8"/>
  <c r="A4" i="8" s="1"/>
  <c r="A5" i="8" s="1"/>
  <c r="A6" i="8" s="1"/>
  <c r="C2" i="7"/>
  <c r="C3" i="7"/>
  <c r="C4" i="7"/>
  <c r="C5" i="7"/>
  <c r="C6" i="7"/>
  <c r="A3" i="7"/>
  <c r="A4" i="7" s="1"/>
  <c r="A5" i="7" s="1"/>
  <c r="A6" i="7" s="1"/>
  <c r="D2" i="5"/>
  <c r="D3" i="5"/>
  <c r="D4" i="5"/>
  <c r="D5" i="5"/>
  <c r="D6" i="5"/>
  <c r="C2" i="5"/>
  <c r="C3" i="5"/>
  <c r="C4" i="5"/>
  <c r="C5" i="5"/>
  <c r="C6" i="5"/>
  <c r="H2" i="4"/>
  <c r="C6" i="4" s="1"/>
  <c r="D6" i="4" s="1"/>
  <c r="E6" i="4" s="1"/>
  <c r="B6" i="7" s="1"/>
  <c r="D6" i="7" s="1"/>
  <c r="E6" i="7" s="1"/>
  <c r="F6" i="7" s="1"/>
  <c r="A3" i="4"/>
  <c r="A4" i="4" s="1"/>
  <c r="A5" i="4" s="1"/>
  <c r="A6" i="4" s="1"/>
  <c r="A3" i="5"/>
  <c r="A4" i="5" s="1"/>
  <c r="A5" i="5" s="1"/>
  <c r="A6" i="5" s="1"/>
  <c r="B3" i="4"/>
  <c r="B4" i="4"/>
  <c r="B5" i="4"/>
  <c r="B6" i="4"/>
  <c r="B2" i="4"/>
  <c r="B3" i="3"/>
  <c r="C3" i="3" s="1"/>
  <c r="E3" i="3" s="1"/>
  <c r="B4" i="3"/>
  <c r="C4" i="3" s="1"/>
  <c r="B5" i="3"/>
  <c r="C5" i="3" s="1"/>
  <c r="B6" i="3"/>
  <c r="C6" i="3" s="1"/>
  <c r="B2" i="3"/>
  <c r="C2" i="3" s="1"/>
  <c r="D3" i="3" s="1"/>
  <c r="A4" i="3"/>
  <c r="A5" i="3" s="1"/>
  <c r="A6" i="3" s="1"/>
  <c r="A3" i="3"/>
  <c r="D5" i="8" l="1"/>
  <c r="E5" i="8" s="1"/>
  <c r="D2" i="8"/>
  <c r="E2" i="8" s="1"/>
  <c r="D4" i="8"/>
  <c r="E4" i="8" s="1"/>
  <c r="D6" i="8"/>
  <c r="E6" i="8" s="1"/>
  <c r="C2" i="4"/>
  <c r="D2" i="4" s="1"/>
  <c r="E2" i="4" s="1"/>
  <c r="B2" i="7" s="1"/>
  <c r="D2" i="7" s="1"/>
  <c r="E2" i="7" s="1"/>
  <c r="F2" i="7" s="1"/>
  <c r="C3" i="4"/>
  <c r="D3" i="4" s="1"/>
  <c r="E3" i="4" s="1"/>
  <c r="B3" i="7" s="1"/>
  <c r="D3" i="7" s="1"/>
  <c r="E3" i="7" s="1"/>
  <c r="F3" i="7" s="1"/>
  <c r="C5" i="4"/>
  <c r="D5" i="4" s="1"/>
  <c r="E5" i="4" s="1"/>
  <c r="B5" i="7" s="1"/>
  <c r="D5" i="7" s="1"/>
  <c r="E5" i="7" s="1"/>
  <c r="F5" i="7" s="1"/>
  <c r="C4" i="4"/>
  <c r="D4" i="4" s="1"/>
  <c r="E4" i="4" s="1"/>
  <c r="B4" i="7" s="1"/>
  <c r="D4" i="7" s="1"/>
  <c r="E4" i="7" s="1"/>
  <c r="F4" i="7" s="1"/>
  <c r="E2" i="3"/>
  <c r="D4" i="3"/>
  <c r="E4" i="3" s="1"/>
  <c r="D6" i="3"/>
  <c r="E6" i="3" s="1"/>
  <c r="D5" i="3"/>
  <c r="E5" i="3" s="1"/>
  <c r="H2" i="2"/>
  <c r="B2" i="2" s="1"/>
  <c r="A4" i="2"/>
  <c r="A5" i="2" s="1"/>
  <c r="A6" i="2" s="1"/>
  <c r="A3" i="2"/>
  <c r="C4" i="1"/>
  <c r="C3" i="1"/>
  <c r="C2" i="1"/>
  <c r="C2" i="2" l="1"/>
  <c r="D2" i="2" s="1"/>
  <c r="B3" i="2" a="1"/>
  <c r="B3" i="2" s="1"/>
  <c r="C3" i="2" l="1"/>
  <c r="B4" i="2" a="1"/>
  <c r="B4" i="2" s="1"/>
  <c r="D3" i="2"/>
  <c r="B5" i="2" l="1" a="1"/>
  <c r="B5" i="2" s="1"/>
  <c r="C4" i="2"/>
  <c r="D4" i="2"/>
  <c r="B6" i="2" l="1" a="1"/>
  <c r="B6" i="2" s="1"/>
  <c r="C6" i="2" s="1"/>
  <c r="C5" i="2"/>
  <c r="D5" i="2" s="1"/>
  <c r="D6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<sst xmlns="http://schemas.openxmlformats.org/spreadsheetml/2006/main" count="54" uniqueCount="41">
  <si>
    <t>Количество запросов</t>
  </si>
  <si>
    <t>Объем запросов, ГБ</t>
  </si>
  <si>
    <t>Суммарный объем запросов</t>
  </si>
  <si>
    <t>Итог</t>
  </si>
  <si>
    <t>Год</t>
  </si>
  <si>
    <t>(Рост данных/месяц) в текущий год, ГБ/мес</t>
  </si>
  <si>
    <t>Объем новых данных/год, ГБ/год</t>
  </si>
  <si>
    <t>Минимальный объем хранилища на год, ГБ</t>
  </si>
  <si>
    <t>Минимальный объем хранилища на год, ТБ</t>
  </si>
  <si>
    <t>Начальный объем роста в месяц за первый месяц, ГБ/мес</t>
  </si>
  <si>
    <t>Коэффициент ускорения, %/год</t>
  </si>
  <si>
    <t>Объем холодных данных, ГБ</t>
  </si>
  <si>
    <t>Объем теплых данных, ГБ</t>
  </si>
  <si>
    <t>Объем горячих данных, ГБ</t>
  </si>
  <si>
    <t>Суммарный объем бэкапов (TB)</t>
  </si>
  <si>
    <t>Необходимая скорость, Гбит/c</t>
  </si>
  <si>
    <t>Вермя восставновления</t>
  </si>
  <si>
    <t>Вермя восставновления, с</t>
  </si>
  <si>
    <t>Скорость 1 диска, МБ/c</t>
  </si>
  <si>
    <t>Необходимая скорость, МБ/c</t>
  </si>
  <si>
    <t>Минимальное колическттвол дисков</t>
  </si>
  <si>
    <t>Объем 1 диска, ТБ</t>
  </si>
  <si>
    <t>Количество дисков</t>
  </si>
  <si>
    <t>Настроки диска</t>
  </si>
  <si>
    <t>Значение</t>
  </si>
  <si>
    <t>Фактор репликации</t>
  </si>
  <si>
    <t>Количество дисков по объему</t>
  </si>
  <si>
    <t>Количество дисков по скорости</t>
  </si>
  <si>
    <t>Максимальное кошличество</t>
  </si>
  <si>
    <t>Количество нод</t>
  </si>
  <si>
    <t>Количество дисков на 1 ноде</t>
  </si>
  <si>
    <t>Суммарный объем бэкапов c репикацией(TB)</t>
  </si>
  <si>
    <t>Ценв 1 ТБ/мес</t>
  </si>
  <si>
    <t>Стоимость хранения / месяц, Р/мес</t>
  </si>
  <si>
    <t>Стоимость хранения / месяц, Р/год</t>
  </si>
  <si>
    <t>Цена чтения, Р/ГБ</t>
  </si>
  <si>
    <t>Цена 1 восстановления</t>
  </si>
  <si>
    <t>Неопл объем чтения,ГБ</t>
  </si>
  <si>
    <t>Количество восстановлений/год</t>
  </si>
  <si>
    <t>Цена восстановлений</t>
  </si>
  <si>
    <t>Стоимость хранения/год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</si>
</sst>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\ &quot;₽&quot;"/>
  </numFmts>
  <fonts count="4" x14ac:knownFonts="1"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9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6" xfId="0" applyBorder="1"/>
    <xf numFmtId="0" fontId="0" fillId="3" borderId="3" xfId="0" applyFill="1" applyBorder="1"/>
    <xf numFmtId="0" fontId="0" fillId="3" borderId="2" xfId="0" applyFont="1" applyFill="1" applyBorder="1"/>
    <xf numFmtId="0" fontId="0" fillId="0" borderId="2" xfId="0" applyFont="1" applyBorder="1"/>
    <xf numFmtId="168" fontId="0" fillId="0" borderId="0" xfId="0" applyNumberFormat="1"/>
    <xf numFmtId="2" fontId="0" fillId="0" borderId="0" xfId="0" applyNumberFormat="1"/>
    <xf numFmtId="168" fontId="3" fillId="0" borderId="0" xfId="0" applyNumberFormat="1" applyFont="1"/>
  </cellXfs>
  <cellStyles count="1">
    <cellStyle name="Обычный" xfId="0" builtinId="0"/>
  </cellStyles>
  <dxfs count="41">
    <dxf>
      <numFmt numFmtId="168" formatCode="#,##0.00\ &quot;₽&quot;"/>
    </dxf>
    <dxf>
      <numFmt numFmtId="168" formatCode="#,##0.00\ &quot;₽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204"/>
        <scheme val="none"/>
      </font>
      <numFmt numFmtId="168" formatCode="#,##0.00\ &quot;₽&quot;"/>
    </dxf>
    <dxf>
      <numFmt numFmtId="168" formatCode="#,##0.00\ &quot;₽&quot;"/>
    </dxf>
    <dxf>
      <numFmt numFmtId="168" formatCode="#,##0.00\ &quot;₽&quot;"/>
    </dxf>
    <dxf>
      <numFmt numFmtId="0" formatCode="General"/>
    </dxf>
    <dxf>
      <numFmt numFmtId="2" formatCode="0.00"/>
    </dxf>
    <dxf>
      <numFmt numFmtId="168" formatCode="#,##0.00\ &quot;₽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04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04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40F43F-1461-46FF-A51D-75AC2C262DD1}" name="Таблица1" displayName="Таблица1" ref="A1:C4" totalsRowCount="1">
  <autoFilter ref="A1:C3" xr:uid="{B740F43F-1461-46FF-A51D-75AC2C262DD1}"/>
  <tableColumns count="3">
    <tableColumn id="1" xr3:uid="{8CFC8F55-6C46-4188-88CB-BA3F1AD63171}" name="Количество запросов" totalsRowLabel="Итог"/>
    <tableColumn id="2" xr3:uid="{FDA4E562-81C2-4D0E-A299-7DD4B636B0DE}" name="Объем запросов, ГБ"/>
    <tableColumn id="3" xr3:uid="{D677A2F9-EFBA-434E-8359-D236D7C66D91}" name="Суммарный объем запросов" totalsRowFunction="sum">
      <calculatedColumnFormula>A2*B2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6F3798-E9A0-4680-A92A-5BFD76E77A0A}" name="Таблица2" displayName="Таблица2" ref="G1:H2" totalsRowShown="0">
  <autoFilter ref="G1:H2" xr:uid="{346F3798-E9A0-4680-A92A-5BFD76E77A0A}"/>
  <tableColumns count="2">
    <tableColumn id="1" xr3:uid="{50194135-695A-41B8-B226-8B0D48D2CC57}" name="Коэффициент ускорения, %/год"/>
    <tableColumn id="2" xr3:uid="{BCB826B7-F37A-42A1-8CDD-8EA5D702B413}" name="Начальный объем роста в месяц за первый месяц, ГБ/мес">
      <calculatedColumnFormula>Таблица1[[#Totals],[Суммарный объем запросов]]*1.75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BD39F2-2143-43F7-AA6C-C530B74B4889}" name="Таблица3" displayName="Таблица3" ref="A1:E6" totalsRowShown="0">
  <autoFilter ref="A1:E6" xr:uid="{C1BD39F2-2143-43F7-AA6C-C530B74B4889}"/>
  <tableColumns count="5">
    <tableColumn id="1" xr3:uid="{E0C168C6-1C2A-41F9-90D5-CC21AD49B8E1}" name="Год">
      <calculatedColumnFormula>A1+1</calculatedColumnFormula>
    </tableColumn>
    <tableColumn id="2" xr3:uid="{288E18EC-7200-41C6-934E-1AB8CE7A2534}" name="(Рост данных/месяц) в текущий год, ГБ/мес">
      <calculatedColumnFormula array="1">_xlfn.CEILING.MATH(B1*(1 + Таблица2[Коэффициент ускорения, %/год]/100))</calculatedColumnFormula>
    </tableColumn>
    <tableColumn id="3" xr3:uid="{E6120B2D-E3E5-4620-A3A5-BF5505AB0634}" name="Объем новых данных/год, ГБ/год">
      <calculatedColumnFormula>B2*12</calculatedColumnFormula>
    </tableColumn>
    <tableColumn id="4" xr3:uid="{1DCCBF2B-8758-44B9-8FB5-6F705F1C3BCE}" name="Минимальный объем хранилища на год, ГБ">
      <calculatedColumnFormula>D1+C2</calculatedColumnFormula>
    </tableColumn>
    <tableColumn id="5" xr3:uid="{629C4D67-72FC-4A03-B2F2-9678B2E4D2ED}" name="Минимальный объем хранилища на год, ТБ" dataDxfId="5">
      <calculatedColumnFormula>_xlfn.CEILING.MATH(D2/1024,0.01)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C328A3-7600-4985-9A8B-9E6F491E66BD}" name="Таблица5" displayName="Таблица5" ref="A1:E6" totalsRowShown="0" headerRowDxfId="40" dataDxfId="38" headerRowBorderDxfId="39" tableBorderDxfId="37" totalsRowBorderDxfId="36">
  <autoFilter ref="A1:E6" xr:uid="{03C328A3-7600-4985-9A8B-9E6F491E66BD}"/>
  <tableColumns count="5">
    <tableColumn id="1" xr3:uid="{9D50F930-0B46-4708-B7B8-AE4728C4FC0C}" name="Год" dataDxfId="35">
      <calculatedColumnFormula>A1+1</calculatedColumnFormula>
    </tableColumn>
    <tableColumn id="3" xr3:uid="{BF7E9333-5671-423F-92ED-474B1449F6B8}" name="Минимальный объем хранилища на год, ГБ" dataDxfId="34">
      <calculatedColumnFormula>Таблица3[[#This Row],[Минимальный объем хранилища на год, ГБ]]</calculatedColumnFormula>
    </tableColumn>
    <tableColumn id="4" xr3:uid="{77A00AC5-ABD0-471D-9505-2B4898886461}" name="Необходимая скорость, Гбит/c" dataDxfId="33">
      <calculatedColumnFormula>8*Таблица5[[#This Row],[Минимальный объем хранилища на год, ГБ]]/$H$2</calculatedColumnFormula>
    </tableColumn>
    <tableColumn id="2" xr3:uid="{D296EDFF-AD08-4EAF-8C06-E95BA3858653}" name="Необходимая скорость, МБ/c" dataDxfId="32">
      <calculatedColumnFormula>Таблица5[[#This Row],[Необходимая скорость, Гбит/c]]*128</calculatedColumnFormula>
    </tableColumn>
    <tableColumn id="5" xr3:uid="{81514A64-4331-46FB-8669-164BDDA2176F}" name="Минимальное колическттвол дисков" dataDxfId="31">
      <calculatedColumnFormula>_xlfn.CEILING.MATH(Таблица5[[#This Row],[Необходимая скорость, МБ/c]]/$I$2,1)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05492-342A-4C7E-B397-8180F6D5BB95}" name="Таблица6" displayName="Таблица6" ref="A1:D6" totalsRowShown="0" tableBorderDxfId="30">
  <autoFilter ref="A1:D6" xr:uid="{B1F05492-342A-4C7E-B397-8180F6D5BB95}"/>
  <tableColumns count="4">
    <tableColumn id="1" xr3:uid="{2CF724CA-8A89-4535-A28F-4B76B9E18E49}" name="Год" dataDxfId="29">
      <calculatedColumnFormula>A1+1</calculatedColumnFormula>
    </tableColumn>
    <tableColumn id="2" xr3:uid="{359BBE6C-E19E-4406-AB44-1B6E3FAF8AD5}" name="Суммарный объем бэкапов (TB)" dataDxfId="28"/>
    <tableColumn id="3" xr3:uid="{EDFBEEA7-C92E-4A55-9074-4039BC756481}" name="Суммарный объем бэкапов c репикацией(TB)" dataDxfId="27">
      <calculatedColumnFormula>Таблица6[[#This Row],[Суммарный объем бэкапов (TB)]]*$G$2</calculatedColumnFormula>
    </tableColumn>
    <tableColumn id="4" xr3:uid="{FC5BBCF2-325A-4B43-884A-1CF3AF5A7B08}" name="Количество дисков" dataDxfId="26">
      <calculatedColumnFormula>_xlfn.CEILING.MATH(C2/$F$2)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39803FC-841B-4741-896F-6B50B6FB45F0}" name="Таблица8" displayName="Таблица8" ref="A1:H6" totalsRowShown="0" tableBorderDxfId="10">
  <autoFilter ref="A1:H6" xr:uid="{A39803FC-841B-4741-896F-6B50B6FB45F0}"/>
  <tableColumns count="8">
    <tableColumn id="1" xr3:uid="{C83F3DA5-2840-46A9-8BCA-9BF09606871F}" name="Год" dataDxfId="9">
      <calculatedColumnFormula>A1+1</calculatedColumnFormula>
    </tableColumn>
    <tableColumn id="2" xr3:uid="{E9434E86-EDCB-4627-A674-74F1839A2FC6}" name="Суммарный объем бэкапов (TB)" dataDxfId="8">
      <calculatedColumnFormula>Таблица6[[#This Row],[Суммарный объем бэкапов (TB)]]</calculatedColumnFormula>
    </tableColumn>
    <tableColumn id="3" xr3:uid="{750C3278-2A9B-4925-9B2B-0625F9EB284C}" name="Минимальный объем хранилища на год, ТБ" dataDxfId="6">
      <calculatedColumnFormula>Таблица3[[#This Row],[Минимальный объем хранилища на год, ТБ]]</calculatedColumnFormula>
    </tableColumn>
    <tableColumn id="4" xr3:uid="{4CD8A199-7A19-4CD3-8EF3-6F39CACD9D8B}" name="Стоимость хранения / месяц, Р/мес" dataDxfId="7">
      <calculatedColumnFormula>B2*$J$2</calculatedColumnFormula>
    </tableColumn>
    <tableColumn id="5" xr3:uid="{FACC1920-2D33-4083-AB99-3AF0A400C6E4}" name="Стоимость хранения / месяц, Р/год" dataDxfId="4">
      <calculatedColumnFormula>Таблица8[[#This Row],[Стоимость хранения / месяц, Р/мес]]*12</calculatedColumnFormula>
    </tableColumn>
    <tableColumn id="6" xr3:uid="{C4F142FB-0C28-4BE0-87FC-F366D6C6B707}" name="Цена 1 восстановления" dataDxfId="3">
      <calculatedColumnFormula>(Таблица8[[#This Row],[Минимальный объем хранилища на год, ТБ]]*1024-$K$2)*$L$2</calculatedColumnFormula>
    </tableColumn>
    <tableColumn id="7" xr3:uid="{DBF70727-8180-4D7E-95E6-B2818F3EEB59}" name="Цена восстановлений" dataDxfId="1">
      <calculatedColumnFormula>Таблица8[[#This Row],[Цена 1 восстановления]]*$M$2</calculatedColumnFormula>
    </tableColumn>
    <tableColumn id="8" xr3:uid="{D89277AC-4C44-446C-AB02-D1F0F094BA03}" name="Стоимость хранения/год" dataDxfId="0">
      <calculatedColumnFormula>Таблица8[[#This Row],[Стоимость хранения / месяц, Р/год]]+Таблица8[[#This Row],[Цена восстановлений]]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410A6A2-ADF3-4601-95DE-0F1DF8F69B2F}" name="Таблица9" displayName="Таблица9" ref="J1:M2" totalsRowShown="0">
  <autoFilter ref="J1:M2" xr:uid="{D410A6A2-ADF3-4601-95DE-0F1DF8F69B2F}"/>
  <tableColumns count="4">
    <tableColumn id="1" xr3:uid="{8AE78C68-E5BF-4418-BF69-6F8199959907}" name="Ценв 1 ТБ/мес"/>
    <tableColumn id="2" xr3:uid="{6D45614A-E72F-457A-8320-978ED9606DE0}" name="Неопл объем чтения,ГБ"/>
    <tableColumn id="3" xr3:uid="{7F5FBE56-3A3E-487A-B343-6B7B27EC0224}" name="Цена чтения, Р/ГБ" dataDxfId="2"/>
    <tableColumn id="4" xr3:uid="{904B2DE1-96BD-4141-9E6B-570114E244D8}" name="Количество восстановлений/год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4CBF245-BDE9-4C57-B274-210639C2127C}" name="Таблица7" displayName="Таблица7" ref="A1:F6" totalsRowShown="0">
  <autoFilter ref="A1:F6" xr:uid="{24CBF245-BDE9-4C57-B274-210639C2127C}"/>
  <tableColumns count="6">
    <tableColumn id="1" xr3:uid="{C0BE04AD-D800-4036-9197-44872A225E08}" name="Год" dataDxfId="25">
      <calculatedColumnFormula>A1+1</calculatedColumnFormula>
    </tableColumn>
    <tableColumn id="2" xr3:uid="{2D787ECA-3674-4996-A74B-32A7AC30B58F}" name="Количество дисков по скорости">
      <calculatedColumnFormula>Таблица5[[#This Row],[Минимальное колическттвол дисков]]</calculatedColumnFormula>
    </tableColumn>
    <tableColumn id="3" xr3:uid="{608B01F1-5670-47B4-8A03-52629C853A7D}" name="Количество дисков по объему" dataDxfId="24">
      <calculatedColumnFormula>Таблица6[[#This Row],[Количество дисков]]</calculatedColumnFormula>
    </tableColumn>
    <tableColumn id="4" xr3:uid="{CB6E3EEE-594F-4EB1-8219-6A316F97EE65}" name="Максимальное кошличество" dataDxfId="23">
      <calculatedColumnFormula>MAX(Таблица7[[#This Row],[Количество дисков по скорости]],Таблица7[[#This Row],[Количество дисков по объему]])</calculatedColumnFormula>
    </tableColumn>
    <tableColumn id="5" xr3:uid="{7B9E0AE7-DFF6-4A7D-AC36-13C5B3E1093E}" name="Количество дисков на 1 ноде" dataDxfId="22">
      <calculatedColumnFormula>QUOTIENT(D2,$H$2) + _xlfn.CEILING.MATH(MOD(INT(D2),$H$2)/$H$2)</calculatedColumnFormula>
    </tableColumn>
    <tableColumn id="6" xr3:uid="{49B81C8B-9F13-49C6-997E-2A7DFF56A0A2}" name="Количество дисков" dataDxfId="21">
      <calculatedColumnFormula>Таблица7[[#This Row],[Количество дисков на 1 ноде]]*$H$2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B0AF25-7315-40B1-9762-26CBE1B2AF52}" name="Таблица4" displayName="Таблица4" ref="A1:E6" totalsRowShown="0" headerRowDxfId="20" dataDxfId="18" headerRowBorderDxfId="19" tableBorderDxfId="17" totalsRowBorderDxfId="16">
  <autoFilter ref="A1:E6" xr:uid="{64B0AF25-7315-40B1-9762-26CBE1B2AF52}"/>
  <tableColumns count="5">
    <tableColumn id="1" xr3:uid="{5361C555-84F8-4320-B9BF-F5EE77B58EFB}" name="Год" dataDxfId="15">
      <calculatedColumnFormula>A1+1</calculatedColumnFormula>
    </tableColumn>
    <tableColumn id="2" xr3:uid="{4BE1F316-36B0-4029-AA9B-2F60456F020C}" name="Объем горячих данных, ГБ" dataDxfId="14">
      <calculatedColumnFormula>Таблица3[[#This Row],[(Рост данных/месяц) в текущий год, ГБ/мес]]</calculatedColumnFormula>
    </tableColumn>
    <tableColumn id="3" xr3:uid="{BDD9D6A0-DC99-4726-AFC5-BF52D22A7307}" name="Объем теплых данных, ГБ" dataDxfId="13">
      <calculatedColumnFormula>B2*11</calculatedColumnFormula>
    </tableColumn>
    <tableColumn id="4" xr3:uid="{761A234F-4C93-4AE3-BD5F-7F3D3EA47276}" name="Объем холодных данных, ГБ" dataDxfId="12">
      <calculatedColumnFormula>SUM($C$1:C2) + SUM($B1:B$2)</calculatedColumnFormula>
    </tableColumn>
    <tableColumn id="5" xr3:uid="{AEB39C59-6A5D-4FDD-B04F-3733EA889425}" name="Минимальный объем хранилища на год, ГБ" dataDxfId="11">
      <calculatedColumnFormula>SUM(B2:D2)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EDBF2-8ABB-4163-AF55-2457F39AF4FD}">
  <dimension ref="A1:C4"/>
  <sheetViews>
    <sheetView workbookViewId="0">
      <selection activeCell="B2" sqref="B2"/>
    </sheetView>
  </sheetViews>
  <sheetFormatPr defaultRowHeight="14.4" x14ac:dyDescent="0.3"/>
  <cols>
    <col min="1" max="1" width="21.33203125" customWidth="1"/>
    <col min="2" max="2" width="20" customWidth="1"/>
    <col min="3" max="3" width="27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</v>
      </c>
      <c r="B2">
        <v>50</v>
      </c>
      <c r="C2">
        <f>A2*B2</f>
        <v>500</v>
      </c>
    </row>
    <row r="3" spans="1:3" x14ac:dyDescent="0.3">
      <c r="A3">
        <v>5</v>
      </c>
      <c r="B3">
        <v>30</v>
      </c>
      <c r="C3">
        <f>A3*B3</f>
        <v>150</v>
      </c>
    </row>
    <row r="4" spans="1:3" x14ac:dyDescent="0.3">
      <c r="A4" t="s">
        <v>3</v>
      </c>
      <c r="C4">
        <f>SUBTOTAL(109,Таблица1[Суммарный объем запросов])</f>
        <v>650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B4FE1-A24D-4B27-A508-ADB99604F398}">
  <dimension ref="A1:H6"/>
  <sheetViews>
    <sheetView workbookViewId="0">
      <selection activeCell="E11" sqref="E11"/>
    </sheetView>
  </sheetViews>
  <sheetFormatPr defaultRowHeight="14.4" x14ac:dyDescent="0.3"/>
  <cols>
    <col min="1" max="1" width="19.21875" bestFit="1" customWidth="1"/>
    <col min="2" max="2" width="40.21875" customWidth="1"/>
    <col min="3" max="3" width="31" customWidth="1"/>
    <col min="4" max="5" width="39.88671875" customWidth="1"/>
    <col min="7" max="7" width="31.109375" bestFit="1" customWidth="1"/>
    <col min="8" max="8" width="50" bestFit="1" customWidth="1"/>
  </cols>
  <sheetData>
    <row r="1" spans="1:8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G1" t="s">
        <v>10</v>
      </c>
      <c r="H1" t="s">
        <v>9</v>
      </c>
    </row>
    <row r="2" spans="1:8" x14ac:dyDescent="0.3">
      <c r="A2">
        <v>1</v>
      </c>
      <c r="B2">
        <f>Таблица2[[#This Row],[Начальный объем роста в месяц за первый месяц, ГБ/мес]]</f>
        <v>1137.5</v>
      </c>
      <c r="C2">
        <f>B2*12</f>
        <v>13650</v>
      </c>
      <c r="D2">
        <f>C2</f>
        <v>13650</v>
      </c>
      <c r="E2">
        <f t="shared" ref="E2:E6" si="0">_xlfn.CEILING.MATH(D2/1024,0.01)</f>
        <v>13.34</v>
      </c>
      <c r="G2">
        <v>10</v>
      </c>
      <c r="H2">
        <f>Таблица1[[#Totals],[Суммарный объем запросов]]*1.75</f>
        <v>1137.5</v>
      </c>
    </row>
    <row r="3" spans="1:8" x14ac:dyDescent="0.3">
      <c r="A3">
        <f>A2+1</f>
        <v>2</v>
      </c>
      <c r="B3" cm="1">
        <f t="array" ref="B3">_xlfn.CEILING.MATH(B2*(1 + Таблица2[Коэффициент ускорения, %/год]/100))</f>
        <v>1252</v>
      </c>
      <c r="C3">
        <f t="shared" ref="C3:C6" si="1">B3*12</f>
        <v>15024</v>
      </c>
      <c r="D3">
        <f>D2+C3</f>
        <v>28674</v>
      </c>
      <c r="E3">
        <f t="shared" si="0"/>
        <v>28.01</v>
      </c>
    </row>
    <row r="4" spans="1:8" x14ac:dyDescent="0.3">
      <c r="A4">
        <f t="shared" ref="A4:A6" si="2">A3+1</f>
        <v>3</v>
      </c>
      <c r="B4" cm="1">
        <f t="array" ref="B4">_xlfn.CEILING.MATH(B3*(1 + Таблица2[Коэффициент ускорения, %/год]/100))</f>
        <v>1378</v>
      </c>
      <c r="C4">
        <f t="shared" si="1"/>
        <v>16536</v>
      </c>
      <c r="D4">
        <f t="shared" ref="D4:D6" si="3">D3+C4</f>
        <v>45210</v>
      </c>
      <c r="E4">
        <f t="shared" si="0"/>
        <v>44.160000000000004</v>
      </c>
    </row>
    <row r="5" spans="1:8" x14ac:dyDescent="0.3">
      <c r="A5">
        <f t="shared" si="2"/>
        <v>4</v>
      </c>
      <c r="B5" cm="1">
        <f t="array" ref="B5">_xlfn.CEILING.MATH(B4*(1 + Таблица2[Коэффициент ускорения, %/год]/100))</f>
        <v>1516</v>
      </c>
      <c r="C5">
        <f t="shared" si="1"/>
        <v>18192</v>
      </c>
      <c r="D5">
        <f t="shared" si="3"/>
        <v>63402</v>
      </c>
      <c r="E5">
        <f t="shared" si="0"/>
        <v>61.92</v>
      </c>
    </row>
    <row r="6" spans="1:8" x14ac:dyDescent="0.3">
      <c r="A6">
        <f t="shared" si="2"/>
        <v>5</v>
      </c>
      <c r="B6" cm="1">
        <f t="array" ref="B6">_xlfn.CEILING.MATH(B5*(1 + Таблица2[Коэффициент ускорения, %/год]/100))</f>
        <v>1668</v>
      </c>
      <c r="C6">
        <f t="shared" si="1"/>
        <v>20016</v>
      </c>
      <c r="D6">
        <f t="shared" si="3"/>
        <v>83418</v>
      </c>
      <c r="E6">
        <f t="shared" si="0"/>
        <v>81.47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5D339-E16E-466A-927E-030D56200B81}">
  <dimension ref="A1:I6"/>
  <sheetViews>
    <sheetView workbookViewId="0">
      <selection activeCell="E19" sqref="E19"/>
    </sheetView>
  </sheetViews>
  <sheetFormatPr defaultRowHeight="14.4" x14ac:dyDescent="0.3"/>
  <cols>
    <col min="1" max="1" width="6.21875" bestFit="1" customWidth="1"/>
    <col min="2" max="2" width="31" bestFit="1" customWidth="1"/>
    <col min="3" max="3" width="41" bestFit="1" customWidth="1"/>
    <col min="4" max="4" width="29.88671875" bestFit="1" customWidth="1"/>
    <col min="5" max="5" width="35.44140625" bestFit="1" customWidth="1"/>
    <col min="7" max="7" width="21.33203125" bestFit="1" customWidth="1"/>
    <col min="8" max="8" width="23.21875" bestFit="1" customWidth="1"/>
    <col min="9" max="9" width="20.77734375" bestFit="1" customWidth="1"/>
    <col min="20" max="20" width="21.33203125" bestFit="1" customWidth="1"/>
    <col min="21" max="21" width="23.21875" bestFit="1" customWidth="1"/>
    <col min="22" max="22" width="20.77734375" bestFit="1" customWidth="1"/>
  </cols>
  <sheetData>
    <row r="1" spans="1:9" x14ac:dyDescent="0.3">
      <c r="A1" s="6" t="s">
        <v>4</v>
      </c>
      <c r="B1" t="s">
        <v>7</v>
      </c>
      <c r="C1" s="6" t="s">
        <v>15</v>
      </c>
      <c r="D1" s="6" t="s">
        <v>19</v>
      </c>
      <c r="E1" s="6" t="s">
        <v>20</v>
      </c>
      <c r="G1" t="s">
        <v>16</v>
      </c>
      <c r="H1" t="s">
        <v>17</v>
      </c>
      <c r="I1" t="s">
        <v>18</v>
      </c>
    </row>
    <row r="2" spans="1:9" x14ac:dyDescent="0.3">
      <c r="A2" s="3">
        <v>1</v>
      </c>
      <c r="B2">
        <f>Таблица3[[#This Row],[Минимальный объем хранилища на год, ГБ]]</f>
        <v>13650</v>
      </c>
      <c r="C2" s="11">
        <f>8*Таблица5[[#This Row],[Минимальный объем хранилища на год, ГБ]]/$H$2</f>
        <v>3.7916666666666665</v>
      </c>
      <c r="D2" s="11">
        <f>Таблица5[[#This Row],[Необходимая скорость, Гбит/c]]*128</f>
        <v>485.33333333333331</v>
      </c>
      <c r="E2" s="11">
        <f>_xlfn.CEILING.MATH(Таблица5[[#This Row],[Необходимая скорость, МБ/c]]/$I$2,1)</f>
        <v>4</v>
      </c>
      <c r="G2">
        <v>8</v>
      </c>
      <c r="H2">
        <f>G2*3600</f>
        <v>28800</v>
      </c>
      <c r="I2">
        <v>150</v>
      </c>
    </row>
    <row r="3" spans="1:9" x14ac:dyDescent="0.3">
      <c r="A3" s="5">
        <f>A2+1</f>
        <v>2</v>
      </c>
      <c r="B3">
        <f>Таблица3[[#This Row],[Минимальный объем хранилища на год, ГБ]]</f>
        <v>28674</v>
      </c>
      <c r="C3" s="3">
        <f>8*Таблица5[[#This Row],[Минимальный объем хранилища на год, ГБ]]/$H$2</f>
        <v>7.9649999999999999</v>
      </c>
      <c r="D3" s="3">
        <f>Таблица5[[#This Row],[Необходимая скорость, Гбит/c]]*128</f>
        <v>1019.52</v>
      </c>
      <c r="E3" s="3">
        <f>_xlfn.CEILING.MATH(Таблица5[[#This Row],[Необходимая скорость, МБ/c]]/$I$2,1)</f>
        <v>7</v>
      </c>
    </row>
    <row r="4" spans="1:9" x14ac:dyDescent="0.3">
      <c r="A4" s="3">
        <f t="shared" ref="A4:A6" si="0">A3+1</f>
        <v>3</v>
      </c>
      <c r="B4">
        <f>Таблица3[[#This Row],[Минимальный объем хранилища на год, ГБ]]</f>
        <v>45210</v>
      </c>
      <c r="C4" s="3">
        <f>8*Таблица5[[#This Row],[Минимальный объем хранилища на год, ГБ]]/$H$2</f>
        <v>12.558333333333334</v>
      </c>
      <c r="D4" s="3">
        <f>Таблица5[[#This Row],[Необходимая скорость, Гбит/c]]*128</f>
        <v>1607.4666666666667</v>
      </c>
      <c r="E4" s="3">
        <f>_xlfn.CEILING.MATH(Таблица5[[#This Row],[Необходимая скорость, МБ/c]]/$I$2,1)</f>
        <v>11</v>
      </c>
    </row>
    <row r="5" spans="1:9" x14ac:dyDescent="0.3">
      <c r="A5" s="5">
        <f t="shared" si="0"/>
        <v>4</v>
      </c>
      <c r="B5">
        <f>Таблица3[[#This Row],[Минимальный объем хранилища на год, ГБ]]</f>
        <v>63402</v>
      </c>
      <c r="C5" s="3">
        <f>8*Таблица5[[#This Row],[Минимальный объем хранилища на год, ГБ]]/$H$2</f>
        <v>17.611666666666668</v>
      </c>
      <c r="D5" s="3">
        <f>Таблица5[[#This Row],[Необходимая скорость, Гбит/c]]*128</f>
        <v>2254.2933333333335</v>
      </c>
      <c r="E5" s="3">
        <f>_xlfn.CEILING.MATH(Таблица5[[#This Row],[Необходимая скорость, МБ/c]]/$I$2,1)</f>
        <v>16</v>
      </c>
    </row>
    <row r="6" spans="1:9" x14ac:dyDescent="0.3">
      <c r="A6" s="8">
        <f t="shared" si="0"/>
        <v>5</v>
      </c>
      <c r="B6">
        <f>Таблица3[[#This Row],[Минимальный объем хранилища на год, ГБ]]</f>
        <v>83418</v>
      </c>
      <c r="C6" s="8">
        <f>8*Таблица5[[#This Row],[Минимальный объем хранилища на год, ГБ]]/$H$2</f>
        <v>23.171666666666667</v>
      </c>
      <c r="D6" s="8">
        <f>Таблица5[[#This Row],[Необходимая скорость, Гбит/c]]*128</f>
        <v>2965.9733333333334</v>
      </c>
      <c r="E6" s="8">
        <f>_xlfn.CEILING.MATH(Таблица5[[#This Row],[Необходимая скорость, МБ/c]]/$I$2,1)</f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9F671-4FD9-4455-B611-B530B9D1E80C}">
  <dimension ref="A1:G6"/>
  <sheetViews>
    <sheetView workbookViewId="0">
      <selection sqref="A1:B6"/>
    </sheetView>
  </sheetViews>
  <sheetFormatPr defaultRowHeight="14.4" x14ac:dyDescent="0.3"/>
  <cols>
    <col min="2" max="2" width="30.21875" customWidth="1"/>
    <col min="3" max="3" width="43.33203125" bestFit="1" customWidth="1"/>
    <col min="4" max="4" width="20" bestFit="1" customWidth="1"/>
    <col min="6" max="6" width="16.33203125" bestFit="1" customWidth="1"/>
    <col min="7" max="7" width="17.88671875" bestFit="1" customWidth="1"/>
    <col min="21" max="21" width="20.77734375" bestFit="1" customWidth="1"/>
  </cols>
  <sheetData>
    <row r="1" spans="1:7" x14ac:dyDescent="0.3">
      <c r="A1" s="1" t="s">
        <v>4</v>
      </c>
      <c r="B1" s="1" t="s">
        <v>14</v>
      </c>
      <c r="C1" t="s">
        <v>31</v>
      </c>
      <c r="D1" t="s">
        <v>22</v>
      </c>
      <c r="F1" t="s">
        <v>21</v>
      </c>
      <c r="G1" t="s">
        <v>25</v>
      </c>
    </row>
    <row r="2" spans="1:7" x14ac:dyDescent="0.3">
      <c r="A2" s="3">
        <v>1</v>
      </c>
      <c r="B2" s="3">
        <v>38.83</v>
      </c>
      <c r="C2">
        <f>Таблица6[[#This Row],[Суммарный объем бэкапов (TB)]]*$G$2</f>
        <v>77.66</v>
      </c>
      <c r="D2">
        <f t="shared" ref="D2:D6" si="0">_xlfn.CEILING.MATH(C2/$F$2)</f>
        <v>4</v>
      </c>
      <c r="F2">
        <v>22</v>
      </c>
      <c r="G2">
        <v>2</v>
      </c>
    </row>
    <row r="3" spans="1:7" x14ac:dyDescent="0.3">
      <c r="A3" s="5">
        <f>A2+1</f>
        <v>2</v>
      </c>
      <c r="B3" s="3">
        <v>82.61</v>
      </c>
      <c r="C3">
        <f>Таблица6[[#This Row],[Суммарный объем бэкапов (TB)]]*$G$2</f>
        <v>165.22</v>
      </c>
      <c r="D3">
        <f t="shared" si="0"/>
        <v>8</v>
      </c>
    </row>
    <row r="4" spans="1:7" x14ac:dyDescent="0.3">
      <c r="A4" s="3">
        <f t="shared" ref="A4:A6" si="1">A3+1</f>
        <v>3</v>
      </c>
      <c r="B4" s="3">
        <v>130.78</v>
      </c>
      <c r="C4">
        <f>Таблица6[[#This Row],[Суммарный объем бэкапов (TB)]]*$G$2</f>
        <v>261.56</v>
      </c>
      <c r="D4">
        <f t="shared" si="0"/>
        <v>12</v>
      </c>
    </row>
    <row r="5" spans="1:7" x14ac:dyDescent="0.3">
      <c r="A5" s="5">
        <f t="shared" si="1"/>
        <v>4</v>
      </c>
      <c r="B5" s="3">
        <v>183.77</v>
      </c>
      <c r="C5">
        <f>Таблица6[[#This Row],[Суммарный объем бэкапов (TB)]]*$G$2</f>
        <v>367.54</v>
      </c>
      <c r="D5">
        <f t="shared" si="0"/>
        <v>17</v>
      </c>
    </row>
    <row r="6" spans="1:7" x14ac:dyDescent="0.3">
      <c r="A6" s="3">
        <f t="shared" si="1"/>
        <v>5</v>
      </c>
      <c r="B6" s="3">
        <v>242.05</v>
      </c>
      <c r="C6">
        <f>Таблица6[[#This Row],[Суммарный объем бэкапов (TB)]]*$G$2</f>
        <v>484.1</v>
      </c>
      <c r="D6">
        <f t="shared" si="0"/>
        <v>23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B3484-C46F-4466-B77F-2F98DA0CDA31}">
  <dimension ref="A1:M6"/>
  <sheetViews>
    <sheetView tabSelected="1" workbookViewId="0">
      <selection sqref="A1:H6"/>
    </sheetView>
  </sheetViews>
  <sheetFormatPr defaultRowHeight="14.4" x14ac:dyDescent="0.3"/>
  <cols>
    <col min="2" max="2" width="30.21875" customWidth="1"/>
    <col min="3" max="3" width="41" style="15" bestFit="1" customWidth="1"/>
    <col min="4" max="4" width="33.77734375" bestFit="1" customWidth="1"/>
    <col min="5" max="5" width="12.5546875" bestFit="1" customWidth="1"/>
    <col min="6" max="6" width="23.77734375" bestFit="1" customWidth="1"/>
    <col min="7" max="7" width="22.44140625" bestFit="1" customWidth="1"/>
    <col min="8" max="8" width="24.77734375" bestFit="1" customWidth="1"/>
    <col min="9" max="9" width="15" customWidth="1"/>
    <col min="10" max="10" width="23" customWidth="1"/>
    <col min="11" max="11" width="18.33203125" customWidth="1"/>
    <col min="12" max="12" width="30.88671875" customWidth="1"/>
    <col min="15" max="15" width="12.77734375" bestFit="1" customWidth="1"/>
    <col min="16" max="16" width="18.33203125" bestFit="1" customWidth="1"/>
    <col min="17" max="17" width="16.21875" bestFit="1" customWidth="1"/>
  </cols>
  <sheetData>
    <row r="1" spans="1:13" x14ac:dyDescent="0.3">
      <c r="A1" s="1" t="s">
        <v>4</v>
      </c>
      <c r="B1" s="1" t="s">
        <v>14</v>
      </c>
      <c r="C1" t="s">
        <v>8</v>
      </c>
      <c r="D1" s="14" t="s">
        <v>33</v>
      </c>
      <c r="E1" t="s">
        <v>34</v>
      </c>
      <c r="F1" t="s">
        <v>36</v>
      </c>
      <c r="G1" t="s">
        <v>39</v>
      </c>
      <c r="H1" t="s">
        <v>40</v>
      </c>
      <c r="J1" t="s">
        <v>32</v>
      </c>
      <c r="K1" t="s">
        <v>37</v>
      </c>
      <c r="L1" t="s">
        <v>35</v>
      </c>
      <c r="M1" t="s">
        <v>38</v>
      </c>
    </row>
    <row r="2" spans="1:13" x14ac:dyDescent="0.3">
      <c r="A2" s="12">
        <v>1</v>
      </c>
      <c r="B2" s="12">
        <f>Таблица6[[#This Row],[Суммарный объем бэкапов (TB)]]</f>
        <v>38.83</v>
      </c>
      <c r="C2" s="15">
        <f>Таблица3[[#This Row],[Минимальный объем хранилища на год, ТБ]]</f>
        <v>13.34</v>
      </c>
      <c r="D2" s="14">
        <f>B2*$J$2</f>
        <v>94473.39</v>
      </c>
      <c r="E2" s="14">
        <f>Таблица8[[#This Row],[Стоимость хранения / месяц, Р/мес]]*12</f>
        <v>1133680.68</v>
      </c>
      <c r="F2" s="14">
        <f>(Таблица8[[#This Row],[Минимальный объем хранилища на год, ТБ]]*1024-$K$2)*$L$2</f>
        <v>18509.924859616</v>
      </c>
      <c r="G2" s="14">
        <f>Таблица8[[#This Row],[Цена 1 восстановления]]*$M$2</f>
        <v>37019.849719231999</v>
      </c>
      <c r="H2" s="14">
        <f>Таблица8[[#This Row],[Стоимость хранения / месяц, Р/год]]+Таблица8[[#This Row],[Цена восстановлений]]</f>
        <v>1170700.5297192319</v>
      </c>
      <c r="J2">
        <v>2433</v>
      </c>
      <c r="K2">
        <v>100</v>
      </c>
      <c r="L2" s="16">
        <v>1.3650226000000001</v>
      </c>
      <c r="M2">
        <v>2</v>
      </c>
    </row>
    <row r="3" spans="1:13" x14ac:dyDescent="0.3">
      <c r="A3" s="13">
        <f>A2+1</f>
        <v>2</v>
      </c>
      <c r="B3" s="12">
        <f>Таблица6[[#This Row],[Суммарный объем бэкапов (TB)]]</f>
        <v>82.61</v>
      </c>
      <c r="C3" s="15">
        <f>Таблица3[[#This Row],[Минимальный объем хранилища на год, ТБ]]</f>
        <v>28.01</v>
      </c>
      <c r="D3" s="14">
        <f>B3*$J$2</f>
        <v>200990.13</v>
      </c>
      <c r="E3" s="14">
        <f>Таблица8[[#This Row],[Стоимость хранения / месяц, Р/мес]]*12</f>
        <v>2411881.56</v>
      </c>
      <c r="F3" s="14">
        <f>(Таблица8[[#This Row],[Минимальный объем хранилища на год, ТБ]]*1024-$K$2)*$L$2</f>
        <v>39015.403558624006</v>
      </c>
      <c r="G3" s="14">
        <f>Таблица8[[#This Row],[Цена 1 восстановления]]*$M$2</f>
        <v>78030.807117248012</v>
      </c>
      <c r="H3" s="14">
        <f>Таблица8[[#This Row],[Стоимость хранения / месяц, Р/год]]+Таблица8[[#This Row],[Цена восстановлений]]</f>
        <v>2489912.367117248</v>
      </c>
    </row>
    <row r="4" spans="1:13" x14ac:dyDescent="0.3">
      <c r="A4" s="12">
        <f t="shared" ref="A4:A6" si="0">A3+1</f>
        <v>3</v>
      </c>
      <c r="B4" s="12">
        <f>Таблица6[[#This Row],[Суммарный объем бэкапов (TB)]]</f>
        <v>130.78</v>
      </c>
      <c r="C4" s="15">
        <f>Таблица3[[#This Row],[Минимальный объем хранилища на год, ТБ]]</f>
        <v>44.160000000000004</v>
      </c>
      <c r="D4" s="14">
        <f>B4*$J$2</f>
        <v>318187.74</v>
      </c>
      <c r="E4" s="14">
        <f>Таблица8[[#This Row],[Стоимость хранения / месяц, Р/мес]]*12</f>
        <v>3818252.88</v>
      </c>
      <c r="F4" s="14">
        <f>(Таблица8[[#This Row],[Минимальный объем хранилища на год, ТБ]]*1024-$K$2)*$L$2</f>
        <v>61589.601308384008</v>
      </c>
      <c r="G4" s="14">
        <f>Таблица8[[#This Row],[Цена 1 восстановления]]*$M$2</f>
        <v>123179.20261676802</v>
      </c>
      <c r="H4" s="14">
        <f>Таблица8[[#This Row],[Стоимость хранения / месяц, Р/год]]+Таблица8[[#This Row],[Цена восстановлений]]</f>
        <v>3941432.0826167678</v>
      </c>
    </row>
    <row r="5" spans="1:13" x14ac:dyDescent="0.3">
      <c r="A5" s="13">
        <f t="shared" si="0"/>
        <v>4</v>
      </c>
      <c r="B5" s="12">
        <f>Таблица6[[#This Row],[Суммарный объем бэкапов (TB)]]</f>
        <v>183.77</v>
      </c>
      <c r="C5" s="15">
        <f>Таблица3[[#This Row],[Минимальный объем хранилища на год, ТБ]]</f>
        <v>61.92</v>
      </c>
      <c r="D5" s="14">
        <f>B5*$J$2</f>
        <v>447112.41000000003</v>
      </c>
      <c r="E5" s="14">
        <f>Таблица8[[#This Row],[Стоимость хранения / месяц, Р/мес]]*12</f>
        <v>5365348.92</v>
      </c>
      <c r="F5" s="14">
        <f>(Таблица8[[#This Row],[Минимальный объем хранилища на год, ТБ]]*1024-$K$2)*$L$2</f>
        <v>86414.229917408011</v>
      </c>
      <c r="G5" s="14">
        <f>Таблица8[[#This Row],[Цена 1 восстановления]]*$M$2</f>
        <v>172828.45983481602</v>
      </c>
      <c r="H5" s="14">
        <f>Таблица8[[#This Row],[Стоимость хранения / месяц, Р/год]]+Таблица8[[#This Row],[Цена восстановлений]]</f>
        <v>5538177.3798348159</v>
      </c>
    </row>
    <row r="6" spans="1:13" x14ac:dyDescent="0.3">
      <c r="A6" s="12">
        <f t="shared" si="0"/>
        <v>5</v>
      </c>
      <c r="B6" s="12">
        <f>Таблица6[[#This Row],[Суммарный объем бэкапов (TB)]]</f>
        <v>242.05</v>
      </c>
      <c r="C6" s="15">
        <f>Таблица3[[#This Row],[Минимальный объем хранилища на год, ТБ]]</f>
        <v>81.47</v>
      </c>
      <c r="D6" s="14">
        <f>B6*$J$2</f>
        <v>588907.65</v>
      </c>
      <c r="E6" s="14">
        <f>Таблица8[[#This Row],[Стоимость хранения / месяц, Р/мес]]*12</f>
        <v>7066891.8000000007</v>
      </c>
      <c r="F6" s="14">
        <f>(Таблица8[[#This Row],[Минимальный объем хранилища на год, ТБ]]*1024-$K$2)*$L$2</f>
        <v>113740.89035132801</v>
      </c>
      <c r="G6" s="14">
        <f>Таблица8[[#This Row],[Цена 1 восстановления]]*$M$2</f>
        <v>227481.78070265602</v>
      </c>
      <c r="H6" s="14">
        <f>Таблица8[[#This Row],[Стоимость хранения / месяц, Р/год]]+Таблица8[[#This Row],[Цена восстановлений]]</f>
        <v>7294373.5807026569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6F34D-1497-4D8C-B6A8-3FF20E1409AC}">
  <dimension ref="A1:H6"/>
  <sheetViews>
    <sheetView workbookViewId="0">
      <selection activeCell="F2" sqref="F2:F6"/>
    </sheetView>
  </sheetViews>
  <sheetFormatPr defaultRowHeight="14.4" x14ac:dyDescent="0.3"/>
  <cols>
    <col min="1" max="1" width="6.21875" bestFit="1" customWidth="1"/>
    <col min="2" max="2" width="30.21875" customWidth="1"/>
    <col min="3" max="3" width="28.5546875" customWidth="1"/>
    <col min="4" max="4" width="27.5546875" customWidth="1"/>
    <col min="5" max="5" width="28.5546875" bestFit="1" customWidth="1"/>
    <col min="6" max="6" width="20" bestFit="1" customWidth="1"/>
    <col min="8" max="8" width="14.21875" bestFit="1" customWidth="1"/>
  </cols>
  <sheetData>
    <row r="1" spans="1:8" x14ac:dyDescent="0.3">
      <c r="A1" s="6" t="s">
        <v>4</v>
      </c>
      <c r="B1" t="s">
        <v>27</v>
      </c>
      <c r="C1" t="s">
        <v>26</v>
      </c>
      <c r="D1" t="s">
        <v>28</v>
      </c>
      <c r="E1" t="s">
        <v>30</v>
      </c>
      <c r="F1" t="s">
        <v>22</v>
      </c>
      <c r="H1" t="s">
        <v>29</v>
      </c>
    </row>
    <row r="2" spans="1:8" x14ac:dyDescent="0.3">
      <c r="A2" s="3">
        <v>1</v>
      </c>
      <c r="B2">
        <f>Таблица5[[#This Row],[Минимальное колическттвол дисков]]</f>
        <v>4</v>
      </c>
      <c r="C2">
        <f>Таблица6[[#This Row],[Количество дисков]]</f>
        <v>4</v>
      </c>
      <c r="D2">
        <f>MAX(Таблица7[[#This Row],[Количество дисков по скорости]],Таблица7[[#This Row],[Количество дисков по объему]])</f>
        <v>4</v>
      </c>
      <c r="E2">
        <f>QUOTIENT(D2,$H$2) + _xlfn.CEILING.MATH(MOD(INT(D2),$H$2)/$H$2)</f>
        <v>2</v>
      </c>
      <c r="F2">
        <f>Таблица7[[#This Row],[Количество дисков на 1 ноде]]*$H$2</f>
        <v>6</v>
      </c>
      <c r="H2">
        <v>3</v>
      </c>
    </row>
    <row r="3" spans="1:8" x14ac:dyDescent="0.3">
      <c r="A3" s="5">
        <f>A2+1</f>
        <v>2</v>
      </c>
      <c r="B3">
        <f>Таблица5[[#This Row],[Минимальное колическттвол дисков]]</f>
        <v>7</v>
      </c>
      <c r="C3">
        <f>Таблица6[[#This Row],[Количество дисков]]</f>
        <v>8</v>
      </c>
      <c r="D3">
        <f>MAX(Таблица7[[#This Row],[Количество дисков по скорости]],Таблица7[[#This Row],[Количество дисков по объему]])</f>
        <v>8</v>
      </c>
      <c r="E3">
        <f t="shared" ref="E3:E6" si="0">QUOTIENT(D3,$H$2) + _xlfn.CEILING.MATH(MOD(INT(D3),$H$2)/$H$2)</f>
        <v>3</v>
      </c>
      <c r="F3">
        <f>Таблица7[[#This Row],[Количество дисков на 1 ноде]]*$H$2</f>
        <v>9</v>
      </c>
    </row>
    <row r="4" spans="1:8" x14ac:dyDescent="0.3">
      <c r="A4" s="3">
        <f t="shared" ref="A4:A6" si="1">A3+1</f>
        <v>3</v>
      </c>
      <c r="B4">
        <f>Таблица5[[#This Row],[Минимальное колическттвол дисков]]</f>
        <v>11</v>
      </c>
      <c r="C4">
        <f>Таблица6[[#This Row],[Количество дисков]]</f>
        <v>12</v>
      </c>
      <c r="D4">
        <f>MAX(Таблица7[[#This Row],[Количество дисков по скорости]],Таблица7[[#This Row],[Количество дисков по объему]])</f>
        <v>12</v>
      </c>
      <c r="E4">
        <f t="shared" si="0"/>
        <v>4</v>
      </c>
      <c r="F4">
        <f>Таблица7[[#This Row],[Количество дисков на 1 ноде]]*$H$2</f>
        <v>12</v>
      </c>
    </row>
    <row r="5" spans="1:8" x14ac:dyDescent="0.3">
      <c r="A5" s="5">
        <f t="shared" si="1"/>
        <v>4</v>
      </c>
      <c r="B5">
        <f>Таблица5[[#This Row],[Минимальное колическттвол дисков]]</f>
        <v>16</v>
      </c>
      <c r="C5">
        <f>Таблица6[[#This Row],[Количество дисков]]</f>
        <v>17</v>
      </c>
      <c r="D5">
        <f>MAX(Таблица7[[#This Row],[Количество дисков по скорости]],Таблица7[[#This Row],[Количество дисков по объему]])</f>
        <v>17</v>
      </c>
      <c r="E5">
        <f t="shared" si="0"/>
        <v>6</v>
      </c>
      <c r="F5">
        <f>Таблица7[[#This Row],[Количество дисков на 1 ноде]]*$H$2</f>
        <v>18</v>
      </c>
    </row>
    <row r="6" spans="1:8" x14ac:dyDescent="0.3">
      <c r="A6" s="8">
        <f t="shared" si="1"/>
        <v>5</v>
      </c>
      <c r="B6">
        <f>Таблица5[[#This Row],[Минимальное колическттвол дисков]]</f>
        <v>20</v>
      </c>
      <c r="C6">
        <f>Таблица6[[#This Row],[Количество дисков]]</f>
        <v>23</v>
      </c>
      <c r="D6">
        <f>MAX(Таблица7[[#This Row],[Количество дисков по скорости]],Таблица7[[#This Row],[Количество дисков по объему]])</f>
        <v>23</v>
      </c>
      <c r="E6">
        <f t="shared" si="0"/>
        <v>8</v>
      </c>
      <c r="F6">
        <f>Таблица7[[#This Row],[Количество дисков на 1 ноде]]*$H$2</f>
        <v>24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8499-B79D-4218-83FE-5399BEA3F19E}">
  <dimension ref="A1:E6"/>
  <sheetViews>
    <sheetView workbookViewId="0">
      <selection activeCell="H32" sqref="H32"/>
    </sheetView>
  </sheetViews>
  <sheetFormatPr defaultRowHeight="14.4" x14ac:dyDescent="0.3"/>
  <cols>
    <col min="2" max="2" width="26.21875" bestFit="1" customWidth="1"/>
    <col min="3" max="3" width="25.5546875" bestFit="1" customWidth="1"/>
    <col min="4" max="4" width="27.88671875" bestFit="1" customWidth="1"/>
    <col min="5" max="5" width="39.88671875" customWidth="1"/>
  </cols>
  <sheetData>
    <row r="1" spans="1:5" x14ac:dyDescent="0.3">
      <c r="A1" s="6" t="s">
        <v>4</v>
      </c>
      <c r="B1" s="7" t="s">
        <v>13</v>
      </c>
      <c r="C1" s="7" t="s">
        <v>12</v>
      </c>
      <c r="D1" s="7" t="s">
        <v>11</v>
      </c>
      <c r="E1" s="6" t="s">
        <v>7</v>
      </c>
    </row>
    <row r="2" spans="1:5" x14ac:dyDescent="0.3">
      <c r="A2" s="3">
        <v>1</v>
      </c>
      <c r="B2" s="2">
        <f>Таблица3[[#This Row],[(Рост данных/месяц) в текущий год, ГБ/мес]]</f>
        <v>1137.5</v>
      </c>
      <c r="C2" s="2">
        <f>B2*11</f>
        <v>12512.5</v>
      </c>
      <c r="D2" s="2"/>
      <c r="E2" s="2">
        <f>SUM(B2:D2)</f>
        <v>13650</v>
      </c>
    </row>
    <row r="3" spans="1:5" x14ac:dyDescent="0.3">
      <c r="A3" s="5">
        <f>A2+1</f>
        <v>2</v>
      </c>
      <c r="B3" s="2">
        <f>Таблица3[[#This Row],[(Рост данных/месяц) в текущий год, ГБ/мес]]</f>
        <v>1252</v>
      </c>
      <c r="C3" s="2">
        <f t="shared" ref="C3:C6" si="0">B3*11</f>
        <v>13772</v>
      </c>
      <c r="D3" s="4">
        <f>SUM($C$2:C2) + SUM($B$2:B2)</f>
        <v>13650</v>
      </c>
      <c r="E3" s="2">
        <f t="shared" ref="E3:E6" si="1">SUM(B3:D3)</f>
        <v>28674</v>
      </c>
    </row>
    <row r="4" spans="1:5" x14ac:dyDescent="0.3">
      <c r="A4" s="3">
        <f t="shared" ref="A4:A6" si="2">A3+1</f>
        <v>3</v>
      </c>
      <c r="B4" s="2">
        <f>Таблица3[[#This Row],[(Рост данных/месяц) в текущий год, ГБ/мес]]</f>
        <v>1378</v>
      </c>
      <c r="C4" s="2">
        <f t="shared" si="0"/>
        <v>15158</v>
      </c>
      <c r="D4" s="4">
        <f>SUM($C$2:C3) + SUM($B$2:B3)</f>
        <v>28674</v>
      </c>
      <c r="E4" s="2">
        <f t="shared" si="1"/>
        <v>45210</v>
      </c>
    </row>
    <row r="5" spans="1:5" x14ac:dyDescent="0.3">
      <c r="A5" s="5">
        <f t="shared" si="2"/>
        <v>4</v>
      </c>
      <c r="B5" s="2">
        <f>Таблица3[[#This Row],[(Рост данных/месяц) в текущий год, ГБ/мес]]</f>
        <v>1516</v>
      </c>
      <c r="C5" s="2">
        <f t="shared" si="0"/>
        <v>16676</v>
      </c>
      <c r="D5" s="4">
        <f>SUM($C$2:C4) + SUM($B$2:B4)</f>
        <v>45210</v>
      </c>
      <c r="E5" s="2">
        <f t="shared" si="1"/>
        <v>63402</v>
      </c>
    </row>
    <row r="6" spans="1:5" x14ac:dyDescent="0.3">
      <c r="A6" s="8">
        <f t="shared" si="2"/>
        <v>5</v>
      </c>
      <c r="B6" s="9">
        <f>Таблица3[[#This Row],[(Рост данных/месяц) в текущий год, ГБ/мес]]</f>
        <v>1668</v>
      </c>
      <c r="C6" s="9">
        <f t="shared" si="0"/>
        <v>18348</v>
      </c>
      <c r="D6" s="10">
        <f>SUM($C$2:C5) + SUM($B$2:B5)</f>
        <v>63402</v>
      </c>
      <c r="E6" s="9">
        <f t="shared" si="1"/>
        <v>83418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B1CD2-564E-4E39-AEA0-5726DAC2266A}">
  <dimension ref="A1:B4"/>
  <sheetViews>
    <sheetView workbookViewId="0">
      <selection activeCell="F16" sqref="F16"/>
    </sheetView>
  </sheetViews>
  <sheetFormatPr defaultRowHeight="14.4" x14ac:dyDescent="0.3"/>
  <cols>
    <col min="1" max="1" width="14.5546875" bestFit="1" customWidth="1"/>
    <col min="2" max="2" width="9.109375" bestFit="1" customWidth="1"/>
  </cols>
  <sheetData>
    <row r="1" spans="1:2" x14ac:dyDescent="0.3">
      <c r="A1" t="s">
        <v>23</v>
      </c>
      <c r="B1" t="s">
        <v>24</v>
      </c>
    </row>
    <row r="2" spans="1:2" x14ac:dyDescent="0.3">
      <c r="A2" t="s">
        <v>21</v>
      </c>
      <c r="B2">
        <v>14</v>
      </c>
    </row>
    <row r="3" spans="1:2" x14ac:dyDescent="0.3">
      <c r="A3" t="s">
        <v>18</v>
      </c>
      <c r="B3">
        <v>150</v>
      </c>
    </row>
    <row r="4" spans="1:2" x14ac:dyDescent="0.3">
      <c r="A4" t="s">
        <v>16</v>
      </c>
      <c r="B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 Объем запросов</vt:lpstr>
      <vt:lpstr>объем хранилища</vt:lpstr>
      <vt:lpstr>Количество дисков по скорости</vt:lpstr>
      <vt:lpstr>Количество дисков по объему</vt:lpstr>
      <vt:lpstr>Лист1</vt:lpstr>
      <vt:lpstr>Количество дисков для кластера</vt:lpstr>
      <vt:lpstr>Tiring</vt:lpstr>
      <vt:lpstr>Настроки диска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Derev</dc:creator>
  <cp:lastModifiedBy>V Derev</cp:lastModifiedBy>
  <dcterms:created xsi:type="dcterms:W3CDTF">2026-05-16T20:52:30Z</dcterms:created>
  <dcterms:modified xsi:type="dcterms:W3CDTF">2026-05-17T23:39:19Z</dcterms:modified>
</cp:coreProperties>
</file>