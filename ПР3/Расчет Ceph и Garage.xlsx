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irea\Системы хранения данных\ПР3\"/>
    </mc:Choice>
  </mc:AlternateContent>
  <xr:revisionPtr revIDLastSave="0" documentId="13_ncr:1_{52597624-6123-4014-938C-BD31A77143E0}" xr6:coauthVersionLast="47" xr6:coauthVersionMax="47" xr10:uidLastSave="{00000000-0000-0000-0000-000000000000}"/>
  <bookViews>
    <workbookView xWindow="3948" yWindow="2640" windowWidth="23040" windowHeight="12120" xr2:uid="{1D163754-1A64-4024-9199-3E66102FB2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9" i="1" l="1"/>
  <c r="O18" i="1"/>
  <c r="B1" i="1"/>
  <c r="F2" i="1"/>
  <c r="F1" i="1"/>
  <c r="O13" i="1"/>
  <c r="O11" i="1"/>
  <c r="K14" i="1"/>
  <c r="K12" i="1"/>
  <c r="L12" i="1"/>
  <c r="L13" i="1"/>
  <c r="L14" i="1"/>
  <c r="L11" i="1"/>
  <c r="H12" i="1"/>
  <c r="J12" i="1" s="1"/>
  <c r="H11" i="1"/>
  <c r="J11" i="1" s="1"/>
  <c r="J14" i="1"/>
  <c r="J13" i="1"/>
  <c r="H14" i="1"/>
  <c r="H1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2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8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F374-C93B-4E61-A356-0298E97EE6DC}">
  <dimension ref="A1:O19"/>
  <sheetViews>
    <sheetView tabSelected="1" workbookViewId="0">
      <selection activeCell="P16" sqref="P16"/>
    </sheetView>
  </sheetViews>
  <sheetFormatPr defaultRowHeight="14.4" x14ac:dyDescent="0.3"/>
  <cols>
    <col min="4" max="4" width="12.5546875" bestFit="1" customWidth="1"/>
    <col min="6" max="6" width="15.33203125" bestFit="1" customWidth="1"/>
    <col min="7" max="7" width="12.5546875" bestFit="1" customWidth="1"/>
    <col min="8" max="8" width="15.33203125" bestFit="1" customWidth="1"/>
    <col min="10" max="10" width="13.6640625" bestFit="1" customWidth="1"/>
    <col min="11" max="11" width="15.33203125" bestFit="1" customWidth="1"/>
    <col min="12" max="12" width="13.6640625" bestFit="1" customWidth="1"/>
    <col min="15" max="15" width="13.6640625" bestFit="1" customWidth="1"/>
  </cols>
  <sheetData>
    <row r="1" spans="1:15" x14ac:dyDescent="0.3">
      <c r="A1">
        <v>217492</v>
      </c>
      <c r="B1">
        <f>A1*3</f>
        <v>652476</v>
      </c>
      <c r="D1" s="1">
        <v>1231994</v>
      </c>
      <c r="F1" s="1">
        <f>B1+D1</f>
        <v>1884470</v>
      </c>
    </row>
    <row r="2" spans="1:15" x14ac:dyDescent="0.3">
      <c r="D2" s="1">
        <v>2135212</v>
      </c>
      <c r="F2" s="1">
        <f>D2+B1</f>
        <v>2787688</v>
      </c>
      <c r="G2" s="1"/>
    </row>
    <row r="11" spans="1:15" ht="15.6" x14ac:dyDescent="0.3">
      <c r="F11">
        <v>120000</v>
      </c>
      <c r="G11">
        <v>4</v>
      </c>
      <c r="H11">
        <f>F11*G11</f>
        <v>480000</v>
      </c>
      <c r="I11">
        <v>1</v>
      </c>
      <c r="J11">
        <f>H11*12*I11</f>
        <v>5760000</v>
      </c>
      <c r="K11" s="2">
        <v>2557428</v>
      </c>
      <c r="L11" s="1">
        <f>K11+J11</f>
        <v>8317428</v>
      </c>
      <c r="O11" s="1">
        <f xml:space="preserve">  L12-L11</f>
        <v>3167042</v>
      </c>
    </row>
    <row r="12" spans="1:15" x14ac:dyDescent="0.3">
      <c r="F12">
        <v>200000</v>
      </c>
      <c r="G12">
        <v>4</v>
      </c>
      <c r="H12">
        <f>F12*G12</f>
        <v>800000</v>
      </c>
      <c r="I12">
        <v>1</v>
      </c>
      <c r="J12">
        <f>H12*12*I12</f>
        <v>9600000</v>
      </c>
      <c r="K12" s="1">
        <f>F1</f>
        <v>1884470</v>
      </c>
      <c r="L12" s="1">
        <f t="shared" ref="L12:L14" si="0">K12+J12</f>
        <v>11484470</v>
      </c>
    </row>
    <row r="13" spans="1:15" x14ac:dyDescent="0.3">
      <c r="F13">
        <v>120000</v>
      </c>
      <c r="G13">
        <v>4</v>
      </c>
      <c r="H13">
        <f>F13*G13</f>
        <v>480000</v>
      </c>
      <c r="I13">
        <v>5</v>
      </c>
      <c r="J13">
        <f>H13*12*I13</f>
        <v>28800000</v>
      </c>
      <c r="K13" s="1">
        <v>10787140</v>
      </c>
      <c r="L13" s="1">
        <f t="shared" si="0"/>
        <v>39587140</v>
      </c>
      <c r="O13" s="1">
        <f>L14-L13</f>
        <v>11200548</v>
      </c>
    </row>
    <row r="14" spans="1:15" x14ac:dyDescent="0.3">
      <c r="F14">
        <v>200000</v>
      </c>
      <c r="G14">
        <v>4</v>
      </c>
      <c r="H14">
        <f>F14*G14</f>
        <v>800000</v>
      </c>
      <c r="I14">
        <v>5</v>
      </c>
      <c r="J14">
        <f>H14*12*I14</f>
        <v>48000000</v>
      </c>
      <c r="K14" s="1">
        <f>F2</f>
        <v>2787688</v>
      </c>
      <c r="L14" s="1">
        <f t="shared" si="0"/>
        <v>50787688</v>
      </c>
    </row>
    <row r="18" spans="15:15" x14ac:dyDescent="0.3">
      <c r="O18">
        <f>L13/K13</f>
        <v>3.6698457607855279</v>
      </c>
    </row>
    <row r="19" spans="15:15" x14ac:dyDescent="0.3">
      <c r="O19">
        <f>L14/K14</f>
        <v>18.218569653418889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Derev</dc:creator>
  <cp:lastModifiedBy>V Derev</cp:lastModifiedBy>
  <dcterms:created xsi:type="dcterms:W3CDTF">2026-05-17T19:03:47Z</dcterms:created>
  <dcterms:modified xsi:type="dcterms:W3CDTF">2026-06-05T00:16:04Z</dcterms:modified>
</cp:coreProperties>
</file>